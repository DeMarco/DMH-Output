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drigo\Documents\GitHub\DMH-Output\"/>
    </mc:Choice>
  </mc:AlternateContent>
  <xr:revisionPtr revIDLastSave="0" documentId="13_ncr:1_{6889A2DB-296C-4952-A776-3CA66495079B}" xr6:coauthVersionLast="47" xr6:coauthVersionMax="47" xr10:uidLastSave="{00000000-0000-0000-0000-000000000000}"/>
  <bookViews>
    <workbookView xWindow="-108" yWindow="-108" windowWidth="23256" windowHeight="12456" xr2:uid="{34920A5C-097A-4EEA-8361-CAFEEE971C7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I10" i="1" s="1"/>
  <c r="J5" i="1"/>
  <c r="K8" i="1" s="1"/>
  <c r="L8" i="1" s="1"/>
  <c r="I7" i="1"/>
  <c r="I8" i="1"/>
  <c r="I9" i="1"/>
  <c r="I11" i="1"/>
  <c r="I12" i="1"/>
  <c r="I13" i="1"/>
  <c r="I14" i="1"/>
  <c r="I15" i="1"/>
  <c r="H15" i="1"/>
  <c r="H14" i="1"/>
  <c r="H13" i="1"/>
  <c r="H12" i="1"/>
  <c r="H11" i="1"/>
  <c r="H7" i="1"/>
  <c r="H8" i="1"/>
  <c r="H9" i="1"/>
  <c r="K9" i="1" l="1"/>
  <c r="L9" i="1" s="1"/>
  <c r="K7" i="1"/>
  <c r="L7" i="1" s="1"/>
  <c r="K15" i="1"/>
  <c r="L15" i="1" s="1"/>
  <c r="K13" i="1"/>
  <c r="L13" i="1" s="1"/>
  <c r="K12" i="1"/>
  <c r="L12" i="1" s="1"/>
  <c r="K14" i="1"/>
  <c r="L14" i="1" s="1"/>
  <c r="K11" i="1"/>
  <c r="L11" i="1" s="1"/>
  <c r="K10" i="1"/>
  <c r="L10" i="1" s="1"/>
  <c r="K6" i="1"/>
  <c r="L6" i="1" s="1"/>
</calcChain>
</file>

<file path=xl/sharedStrings.xml><?xml version="1.0" encoding="utf-8"?>
<sst xmlns="http://schemas.openxmlformats.org/spreadsheetml/2006/main" count="6" uniqueCount="6">
  <si>
    <t>dBu</t>
  </si>
  <si>
    <t>Vp</t>
  </si>
  <si>
    <t>proportion</t>
  </si>
  <si>
    <t>Vcc</t>
  </si>
  <si>
    <t>total</t>
  </si>
  <si>
    <t>TOTAL 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</si>
</sst>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6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0D715C-B6A8-4B52-83D1-951A7478EB04}">
  <dimension ref="G4:L16"/>
  <sheetViews>
    <sheetView tabSelected="1" workbookViewId="0">
      <selection activeCell="E15" sqref="E15"/>
    </sheetView>
  </sheetViews>
  <sheetFormatPr defaultRowHeight="14.4" x14ac:dyDescent="0.3"/>
  <cols>
    <col min="9" max="9" width="10.44140625" customWidth="1"/>
    <col min="10" max="10" width="15.77734375" customWidth="1"/>
  </cols>
  <sheetData>
    <row r="4" spans="7:12" x14ac:dyDescent="0.3">
      <c r="I4" t="s">
        <v>3</v>
      </c>
      <c r="J4" t="s">
        <v>5</v>
      </c>
    </row>
    <row r="5" spans="7:12" x14ac:dyDescent="0.3">
      <c r="I5">
        <v>11.75</v>
      </c>
      <c r="J5">
        <f>SUM(J6:J15)</f>
        <v>174.47</v>
      </c>
    </row>
    <row r="6" spans="7:12" x14ac:dyDescent="0.3">
      <c r="G6" t="s">
        <v>0</v>
      </c>
      <c r="H6" t="s">
        <v>1</v>
      </c>
      <c r="I6" t="s">
        <v>2</v>
      </c>
      <c r="J6" s="2">
        <v>68</v>
      </c>
      <c r="K6" s="1">
        <f>J6/$J$5</f>
        <v>0.38975181979709977</v>
      </c>
      <c r="L6" s="1">
        <f>K6*$I$5</f>
        <v>4.5795838826159221</v>
      </c>
    </row>
    <row r="7" spans="7:12" x14ac:dyDescent="0.3">
      <c r="G7">
        <v>6</v>
      </c>
      <c r="H7" s="1">
        <f>4.371/2</f>
        <v>2.1855000000000002</v>
      </c>
      <c r="I7">
        <f t="shared" ref="I7:I14" si="0">H7/$I$5</f>
        <v>0.18600000000000003</v>
      </c>
      <c r="J7" s="2">
        <v>32.4</v>
      </c>
      <c r="K7" s="1">
        <f t="shared" ref="K7:K15" si="1">J7/$J$5</f>
        <v>0.18570527884450047</v>
      </c>
      <c r="L7" s="1">
        <f t="shared" ref="L7:L16" si="2">K7*$I$5</f>
        <v>2.1820370264228806</v>
      </c>
    </row>
    <row r="8" spans="7:12" x14ac:dyDescent="0.3">
      <c r="G8">
        <v>3</v>
      </c>
      <c r="H8" s="1">
        <f>3.095/2</f>
        <v>1.5475000000000001</v>
      </c>
      <c r="I8" s="1">
        <f t="shared" si="0"/>
        <v>0.13170212765957448</v>
      </c>
      <c r="J8" s="2">
        <v>23.3</v>
      </c>
      <c r="K8" s="1">
        <f t="shared" si="1"/>
        <v>0.1335473147245945</v>
      </c>
      <c r="L8" s="1">
        <f t="shared" si="2"/>
        <v>1.5691809480139853</v>
      </c>
    </row>
    <row r="9" spans="7:12" x14ac:dyDescent="0.3">
      <c r="G9">
        <v>0</v>
      </c>
      <c r="H9">
        <f>2.19/2</f>
        <v>1.095</v>
      </c>
      <c r="I9" s="1">
        <f t="shared" si="0"/>
        <v>9.3191489361702129E-2</v>
      </c>
      <c r="J9" s="2">
        <v>16.2</v>
      </c>
      <c r="K9" s="1">
        <f t="shared" si="1"/>
        <v>9.2852639422250235E-2</v>
      </c>
      <c r="L9" s="1">
        <f t="shared" si="2"/>
        <v>1.0910185132114403</v>
      </c>
    </row>
    <row r="10" spans="7:12" x14ac:dyDescent="0.3">
      <c r="G10">
        <v>-3</v>
      </c>
      <c r="H10" s="1">
        <f>1.551/2</f>
        <v>0.77549999999999997</v>
      </c>
      <c r="I10" s="1">
        <f t="shared" si="0"/>
        <v>6.6000000000000003E-2</v>
      </c>
      <c r="J10" s="2">
        <v>11.5</v>
      </c>
      <c r="K10" s="1">
        <f t="shared" si="1"/>
        <v>6.5913910700980113E-2</v>
      </c>
      <c r="L10" s="1">
        <f t="shared" si="2"/>
        <v>0.77448845073651629</v>
      </c>
    </row>
    <row r="11" spans="7:12" x14ac:dyDescent="0.3">
      <c r="G11">
        <v>-6</v>
      </c>
      <c r="H11">
        <f>1.098/2</f>
        <v>0.54900000000000004</v>
      </c>
      <c r="I11" s="1">
        <f t="shared" si="0"/>
        <v>4.6723404255319151E-2</v>
      </c>
      <c r="J11" s="2">
        <v>8.1999999999999993</v>
      </c>
      <c r="K11" s="1">
        <f t="shared" si="1"/>
        <v>4.6999484152003203E-2</v>
      </c>
      <c r="L11" s="1">
        <f t="shared" si="2"/>
        <v>0.55224393878603761</v>
      </c>
    </row>
    <row r="12" spans="7:12" x14ac:dyDescent="0.3">
      <c r="G12">
        <v>-9</v>
      </c>
      <c r="H12" s="1">
        <f>0.777/2</f>
        <v>0.38850000000000001</v>
      </c>
      <c r="I12" s="1">
        <f t="shared" si="0"/>
        <v>3.3063829787234045E-2</v>
      </c>
      <c r="J12" s="2">
        <v>5.76</v>
      </c>
      <c r="K12" s="1">
        <f t="shared" si="1"/>
        <v>3.3014271794577867E-2</v>
      </c>
      <c r="L12" s="1">
        <f t="shared" si="2"/>
        <v>0.38791769358628991</v>
      </c>
    </row>
    <row r="13" spans="7:12" x14ac:dyDescent="0.3">
      <c r="G13">
        <v>-12</v>
      </c>
      <c r="H13">
        <f>0.55/2</f>
        <v>0.27500000000000002</v>
      </c>
      <c r="I13" s="1">
        <f t="shared" si="0"/>
        <v>2.3404255319148939E-2</v>
      </c>
      <c r="J13" s="2">
        <v>4.12</v>
      </c>
      <c r="K13" s="1">
        <f t="shared" si="1"/>
        <v>2.3614374964177225E-2</v>
      </c>
      <c r="L13" s="1">
        <f t="shared" si="2"/>
        <v>0.2774689058290824</v>
      </c>
    </row>
    <row r="14" spans="7:12" x14ac:dyDescent="0.3">
      <c r="G14">
        <v>-18</v>
      </c>
      <c r="H14">
        <f>0.39/2</f>
        <v>0.19500000000000001</v>
      </c>
      <c r="I14" s="1">
        <f t="shared" si="0"/>
        <v>1.6595744680851066E-2</v>
      </c>
      <c r="J14" s="2">
        <v>2.94</v>
      </c>
      <c r="K14" s="1">
        <f t="shared" si="1"/>
        <v>1.6851034561815786E-2</v>
      </c>
      <c r="L14" s="1">
        <f t="shared" si="2"/>
        <v>0.19799965610133549</v>
      </c>
    </row>
    <row r="15" spans="7:12" x14ac:dyDescent="0.3">
      <c r="G15">
        <v>-21</v>
      </c>
      <c r="H15">
        <f>0.276/2</f>
        <v>0.13800000000000001</v>
      </c>
      <c r="I15" s="1">
        <f>H15/$I$5</f>
        <v>1.1744680851063831E-2</v>
      </c>
      <c r="J15" s="2">
        <v>2.0499999999999998</v>
      </c>
      <c r="K15" s="1">
        <f t="shared" si="1"/>
        <v>1.1749871038000801E-2</v>
      </c>
      <c r="L15" s="1">
        <f t="shared" si="2"/>
        <v>0.1380609846965094</v>
      </c>
    </row>
    <row r="16" spans="7:12" x14ac:dyDescent="0.3">
      <c r="I16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Rodrigo De Marco</dc:creator>
  <cp:lastModifiedBy>Rodrigo De Marco</cp:lastModifiedBy>
  <dcterms:created xsi:type="dcterms:W3CDTF">2025-12-15T20:41:55Z</dcterms:created>
  <dcterms:modified xsi:type="dcterms:W3CDTF">2025-12-15T22:06:37Z</dcterms:modified>
</cp:coreProperties>
</file>