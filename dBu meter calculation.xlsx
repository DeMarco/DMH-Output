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drigo\Documents\GitHub\DMH-Output\"/>
    </mc:Choice>
  </mc:AlternateContent>
  <xr:revisionPtr revIDLastSave="0" documentId="13_ncr:1_{CF86C738-54B7-479B-BF50-CA34E7C9B7F8}" xr6:coauthVersionLast="47" xr6:coauthVersionMax="47" xr10:uidLastSave="{00000000-0000-0000-0000-000000000000}"/>
  <bookViews>
    <workbookView xWindow="-108" yWindow="-108" windowWidth="23256" windowHeight="12456" activeTab="2" xr2:uid="{34920A5C-097A-4EEA-8361-CAFEEE971C72}"/>
  </bookViews>
  <sheets>
    <sheet name="Out 11v75" sheetId="2" r:id="rId1"/>
    <sheet name="10V" sheetId="3" r:id="rId2"/>
    <sheet name="In 11v75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2" l="1"/>
  <c r="N9" i="2"/>
  <c r="N10" i="2"/>
  <c r="N11" i="2"/>
  <c r="N12" i="2"/>
  <c r="N13" i="2"/>
  <c r="N14" i="2"/>
  <c r="N15" i="2"/>
  <c r="N16" i="2"/>
  <c r="M16" i="2"/>
  <c r="M15" i="2"/>
  <c r="M14" i="2"/>
  <c r="M13" i="2"/>
  <c r="M12" i="2"/>
  <c r="M11" i="2"/>
  <c r="M10" i="2"/>
  <c r="M9" i="2"/>
  <c r="M8" i="2"/>
  <c r="N7" i="2"/>
  <c r="M7" i="2"/>
  <c r="K7" i="2"/>
  <c r="K8" i="2"/>
  <c r="K9" i="2"/>
  <c r="K10" i="2"/>
  <c r="K11" i="2"/>
  <c r="K12" i="2"/>
  <c r="L12" i="2" s="1"/>
  <c r="I16" i="2"/>
  <c r="H16" i="2"/>
  <c r="H9" i="5"/>
  <c r="I9" i="5"/>
  <c r="I7" i="5"/>
  <c r="I8" i="5"/>
  <c r="J22" i="3"/>
  <c r="J6" i="3"/>
  <c r="K15" i="3"/>
  <c r="L15" i="3" s="1"/>
  <c r="H15" i="3"/>
  <c r="I15" i="3" s="1"/>
  <c r="K14" i="3"/>
  <c r="L14" i="3" s="1"/>
  <c r="H14" i="3"/>
  <c r="I14" i="3" s="1"/>
  <c r="K13" i="3"/>
  <c r="L13" i="3" s="1"/>
  <c r="I13" i="3"/>
  <c r="H13" i="3"/>
  <c r="K12" i="3"/>
  <c r="L12" i="3" s="1"/>
  <c r="H12" i="3"/>
  <c r="I12" i="3" s="1"/>
  <c r="K11" i="3"/>
  <c r="L11" i="3" s="1"/>
  <c r="I11" i="3"/>
  <c r="H11" i="3"/>
  <c r="K10" i="3"/>
  <c r="L10" i="3" s="1"/>
  <c r="I10" i="3"/>
  <c r="H10" i="3"/>
  <c r="K9" i="3"/>
  <c r="L9" i="3" s="1"/>
  <c r="I9" i="3"/>
  <c r="H9" i="3"/>
  <c r="K8" i="3"/>
  <c r="L8" i="3" s="1"/>
  <c r="H8" i="3"/>
  <c r="I8" i="3" s="1"/>
  <c r="K7" i="3"/>
  <c r="L7" i="3" s="1"/>
  <c r="I7" i="3"/>
  <c r="H7" i="3"/>
  <c r="H15" i="2"/>
  <c r="I15" i="2" s="1"/>
  <c r="I14" i="2"/>
  <c r="H14" i="2"/>
  <c r="H13" i="2"/>
  <c r="I13" i="2" s="1"/>
  <c r="I12" i="2"/>
  <c r="H12" i="2"/>
  <c r="H11" i="2"/>
  <c r="I11" i="2" s="1"/>
  <c r="I10" i="2"/>
  <c r="H10" i="2"/>
  <c r="H9" i="2"/>
  <c r="I9" i="2" s="1"/>
  <c r="I8" i="2"/>
  <c r="H8" i="2"/>
  <c r="H7" i="2"/>
  <c r="I7" i="2" s="1"/>
  <c r="L7" i="2" l="1"/>
  <c r="K15" i="2"/>
  <c r="L15" i="2" s="1"/>
  <c r="K13" i="2"/>
  <c r="L13" i="2" s="1"/>
  <c r="L11" i="2"/>
  <c r="L10" i="2"/>
  <c r="L9" i="2"/>
  <c r="L8" i="2"/>
  <c r="K14" i="2"/>
  <c r="L14" i="2" s="1"/>
  <c r="K16" i="2"/>
  <c r="L16" i="2" s="1"/>
  <c r="K7" i="5"/>
  <c r="L7" i="5" s="1"/>
  <c r="K8" i="5"/>
  <c r="L8" i="5" s="1"/>
  <c r="J5" i="5"/>
  <c r="K9" i="5"/>
  <c r="L9" i="5" s="1"/>
</calcChain>
</file>

<file path=xl/sharedStrings.xml><?xml version="1.0" encoding="utf-8"?>
<sst xmlns="http://schemas.openxmlformats.org/spreadsheetml/2006/main" count="21" uniqueCount="6">
  <si>
    <t>dBu</t>
  </si>
  <si>
    <t>Vp</t>
  </si>
  <si>
    <t>proportion</t>
  </si>
  <si>
    <t>Vcc</t>
  </si>
  <si>
    <t>total</t>
  </si>
  <si>
    <t>TOTAL R (Ohms)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</si>
</sst>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D02EB-515C-4A0B-BB92-62D83B04599D}">
  <dimension ref="E4:N24"/>
  <sheetViews>
    <sheetView workbookViewId="0">
      <selection activeCell="J7" sqref="J7"/>
    </sheetView>
  </sheetViews>
  <sheetFormatPr defaultRowHeight="14.4" x14ac:dyDescent="0.3"/>
  <cols>
    <col min="9" max="9" width="10.44140625" customWidth="1"/>
    <col min="10" max="10" width="15.77734375" customWidth="1"/>
  </cols>
  <sheetData>
    <row r="4" spans="7:14" x14ac:dyDescent="0.3">
      <c r="I4" t="s">
        <v>3</v>
      </c>
      <c r="J4" t="s">
        <v>5</v>
      </c>
    </row>
    <row r="5" spans="7:14" x14ac:dyDescent="0.3">
      <c r="I5">
        <v>11.75</v>
      </c>
      <c r="J5">
        <v>100000</v>
      </c>
    </row>
    <row r="6" spans="7:14" x14ac:dyDescent="0.3">
      <c r="G6" t="s">
        <v>0</v>
      </c>
      <c r="H6" t="s">
        <v>1</v>
      </c>
      <c r="I6" t="s">
        <v>2</v>
      </c>
      <c r="J6" s="3">
        <v>82000</v>
      </c>
      <c r="K6" s="1"/>
      <c r="L6" s="1" t="s">
        <v>1</v>
      </c>
      <c r="N6" t="s">
        <v>1</v>
      </c>
    </row>
    <row r="7" spans="7:14" x14ac:dyDescent="0.3">
      <c r="G7">
        <v>6</v>
      </c>
      <c r="H7" s="1">
        <f>4.371/2</f>
        <v>2.1855000000000002</v>
      </c>
      <c r="I7" s="1">
        <f t="shared" ref="I7:I14" si="0">H7/$I$5</f>
        <v>0.18600000000000003</v>
      </c>
      <c r="J7" s="4">
        <v>5600</v>
      </c>
      <c r="K7" s="1">
        <f>SUM(J7:J16)/J5</f>
        <v>0.18840000000000001</v>
      </c>
      <c r="L7" s="1">
        <f t="shared" ref="L7:L15" si="1">K7*$I$5</f>
        <v>2.2137000000000002</v>
      </c>
      <c r="M7" s="1">
        <f>SUM(J7:J16)/SUM(J6:J16)</f>
        <v>0.18683062276874257</v>
      </c>
      <c r="N7" s="1">
        <f>M7*$I$5</f>
        <v>2.1952598175327251</v>
      </c>
    </row>
    <row r="8" spans="7:14" x14ac:dyDescent="0.3">
      <c r="G8">
        <v>3</v>
      </c>
      <c r="H8" s="1">
        <f>3.095/2</f>
        <v>1.5475000000000001</v>
      </c>
      <c r="I8" s="1">
        <f t="shared" si="0"/>
        <v>0.13170212765957448</v>
      </c>
      <c r="J8" s="4">
        <v>3900</v>
      </c>
      <c r="K8" s="1">
        <f>SUM(J8:J16)/J5</f>
        <v>0.13239999999999999</v>
      </c>
      <c r="L8" s="1">
        <f t="shared" si="1"/>
        <v>1.5556999999999999</v>
      </c>
      <c r="M8" s="1">
        <f>SUM(J8:J16)/SUM(J6:J16)</f>
        <v>0.13129710432368108</v>
      </c>
      <c r="N8" s="1">
        <f t="shared" ref="N8:N16" si="2">M8*$I$5</f>
        <v>1.5427409758032526</v>
      </c>
    </row>
    <row r="9" spans="7:14" x14ac:dyDescent="0.3">
      <c r="G9">
        <v>0</v>
      </c>
      <c r="H9">
        <f>2.19/2</f>
        <v>1.095</v>
      </c>
      <c r="I9" s="1">
        <f t="shared" si="0"/>
        <v>9.3191489361702129E-2</v>
      </c>
      <c r="J9" s="4">
        <v>2700</v>
      </c>
      <c r="K9" s="1">
        <f>SUM(J9:J16)/J5</f>
        <v>9.3399999999999997E-2</v>
      </c>
      <c r="L9" s="1">
        <f t="shared" si="1"/>
        <v>1.09745</v>
      </c>
      <c r="M9" s="1">
        <f>SUM(J9:J16)/SUM(J6:J16)</f>
        <v>9.2621975406584692E-2</v>
      </c>
      <c r="N9" s="1">
        <f t="shared" si="2"/>
        <v>1.0883082110273701</v>
      </c>
    </row>
    <row r="10" spans="7:14" x14ac:dyDescent="0.3">
      <c r="G10">
        <v>-3</v>
      </c>
      <c r="H10" s="1">
        <f>1.551/2</f>
        <v>0.77549999999999997</v>
      </c>
      <c r="I10" s="1">
        <f t="shared" si="0"/>
        <v>6.6000000000000003E-2</v>
      </c>
      <c r="J10" s="4">
        <v>2000</v>
      </c>
      <c r="K10" s="1">
        <f>SUM(J10:J16)/J5</f>
        <v>6.6400000000000001E-2</v>
      </c>
      <c r="L10" s="1">
        <f t="shared" si="1"/>
        <v>0.7802</v>
      </c>
      <c r="M10" s="1">
        <f>SUM(J10:J16)/SUM(J6:J16)</f>
        <v>6.5846886156287185E-2</v>
      </c>
      <c r="N10" s="1">
        <f t="shared" si="2"/>
        <v>0.77370091233637439</v>
      </c>
    </row>
    <row r="11" spans="7:14" x14ac:dyDescent="0.3">
      <c r="G11">
        <v>-6</v>
      </c>
      <c r="H11">
        <f>1.098/2</f>
        <v>0.54900000000000004</v>
      </c>
      <c r="I11" s="1">
        <f t="shared" si="0"/>
        <v>4.6723404255319151E-2</v>
      </c>
      <c r="J11" s="4">
        <v>1300</v>
      </c>
      <c r="K11" s="1">
        <f>SUM(J11:J16)/J5</f>
        <v>4.6399999999999997E-2</v>
      </c>
      <c r="L11" s="1">
        <f t="shared" si="1"/>
        <v>0.54519999999999991</v>
      </c>
      <c r="M11" s="1">
        <f>SUM(J11:J16)/SUM(J6:J16)</f>
        <v>4.6013486711622371E-2</v>
      </c>
      <c r="N11" s="1">
        <f t="shared" si="2"/>
        <v>0.54065846886156288</v>
      </c>
    </row>
    <row r="12" spans="7:14" x14ac:dyDescent="0.3">
      <c r="G12">
        <v>-9</v>
      </c>
      <c r="H12" s="1">
        <f>0.777/2</f>
        <v>0.38850000000000001</v>
      </c>
      <c r="I12" s="1">
        <f t="shared" si="0"/>
        <v>3.3063829787234045E-2</v>
      </c>
      <c r="J12" s="4">
        <v>1000</v>
      </c>
      <c r="K12" s="1">
        <f>SUM(J12:J16)/J5</f>
        <v>3.3399999999999999E-2</v>
      </c>
      <c r="L12" s="1">
        <f t="shared" si="1"/>
        <v>0.39244999999999997</v>
      </c>
      <c r="M12" s="1">
        <f>SUM(J12:J16)/SUM(J6:J16)</f>
        <v>3.3121777072590244E-2</v>
      </c>
      <c r="N12" s="1">
        <f t="shared" si="2"/>
        <v>0.38918088060293538</v>
      </c>
    </row>
    <row r="13" spans="7:14" x14ac:dyDescent="0.3">
      <c r="G13">
        <v>-12</v>
      </c>
      <c r="H13">
        <f>0.55/2</f>
        <v>0.27500000000000002</v>
      </c>
      <c r="I13" s="1">
        <f t="shared" si="0"/>
        <v>2.3404255319148939E-2</v>
      </c>
      <c r="J13" s="4">
        <v>680</v>
      </c>
      <c r="K13" s="1">
        <f>SUM(J13:J16)/J5</f>
        <v>2.3400000000000001E-2</v>
      </c>
      <c r="L13" s="1">
        <f t="shared" si="1"/>
        <v>0.27495000000000003</v>
      </c>
      <c r="M13" s="1">
        <f>SUM(J13:J16)/SUM(J6:J16)</f>
        <v>2.3205077350257834E-2</v>
      </c>
      <c r="N13" s="1">
        <f t="shared" si="2"/>
        <v>0.27265965886552956</v>
      </c>
    </row>
    <row r="14" spans="7:14" x14ac:dyDescent="0.3">
      <c r="G14">
        <v>-15</v>
      </c>
      <c r="H14">
        <f>0.39/2</f>
        <v>0.19500000000000001</v>
      </c>
      <c r="I14" s="1">
        <f t="shared" si="0"/>
        <v>1.6595744680851066E-2</v>
      </c>
      <c r="J14" s="4">
        <v>510</v>
      </c>
      <c r="K14" s="1">
        <f>SUM(J14:J16)/J5</f>
        <v>1.66E-2</v>
      </c>
      <c r="L14" s="1">
        <f t="shared" si="1"/>
        <v>0.19505</v>
      </c>
      <c r="M14" s="1">
        <f>SUM(J14:J16)/SUM(J6:J16)</f>
        <v>1.6461721539071796E-2</v>
      </c>
      <c r="N14" s="1">
        <f t="shared" si="2"/>
        <v>0.1934252280840936</v>
      </c>
    </row>
    <row r="15" spans="7:14" x14ac:dyDescent="0.3">
      <c r="G15">
        <v>-18</v>
      </c>
      <c r="H15">
        <f>0.276/2</f>
        <v>0.13800000000000001</v>
      </c>
      <c r="I15" s="1">
        <f>H15/$I$5</f>
        <v>1.1744680851063831E-2</v>
      </c>
      <c r="J15" s="4">
        <v>330</v>
      </c>
      <c r="K15" s="1">
        <f>SUM(J15:J16)/J6</f>
        <v>1.4024390243902439E-2</v>
      </c>
      <c r="L15" s="1">
        <f t="shared" si="1"/>
        <v>0.16478658536585367</v>
      </c>
      <c r="M15" s="1">
        <f>SUM(J15:J16)/SUM(J6:J16)</f>
        <v>1.1404204680682269E-2</v>
      </c>
      <c r="N15" s="1">
        <f t="shared" si="2"/>
        <v>0.13399940499801666</v>
      </c>
    </row>
    <row r="16" spans="7:14" x14ac:dyDescent="0.3">
      <c r="G16">
        <v>-21</v>
      </c>
      <c r="H16" s="1">
        <f>0.195/2</f>
        <v>9.7500000000000003E-2</v>
      </c>
      <c r="I16" s="1">
        <f>H16/$I$5</f>
        <v>8.2978723404255328E-3</v>
      </c>
      <c r="J16" s="4">
        <v>820</v>
      </c>
      <c r="K16" s="1">
        <f t="shared" ref="K16" si="3">J16/$J$5</f>
        <v>8.2000000000000007E-3</v>
      </c>
      <c r="L16" s="1">
        <f t="shared" ref="L16" si="4">K16*$I$5</f>
        <v>9.6350000000000005E-2</v>
      </c>
      <c r="M16" s="1">
        <f>SUM(J16)/SUM(J6:J16)</f>
        <v>8.1316937723125739E-3</v>
      </c>
      <c r="N16" s="1">
        <f t="shared" si="2"/>
        <v>9.5547401824672737E-2</v>
      </c>
    </row>
    <row r="24" spans="5:5" x14ac:dyDescent="0.3">
      <c r="E2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38745-C031-44EB-8DE0-C90EAC00962D}">
  <dimension ref="G4:L22"/>
  <sheetViews>
    <sheetView workbookViewId="0">
      <selection activeCell="J5" sqref="J5"/>
    </sheetView>
  </sheetViews>
  <sheetFormatPr defaultRowHeight="14.4" x14ac:dyDescent="0.3"/>
  <cols>
    <col min="9" max="9" width="10.44140625" customWidth="1"/>
    <col min="10" max="10" width="15.77734375" customWidth="1"/>
  </cols>
  <sheetData>
    <row r="4" spans="7:12" x14ac:dyDescent="0.3">
      <c r="I4" t="s">
        <v>3</v>
      </c>
      <c r="J4" t="s">
        <v>5</v>
      </c>
    </row>
    <row r="5" spans="7:12" x14ac:dyDescent="0.3">
      <c r="I5">
        <v>10</v>
      </c>
      <c r="J5">
        <v>100000</v>
      </c>
    </row>
    <row r="6" spans="7:12" x14ac:dyDescent="0.3">
      <c r="G6" t="s">
        <v>0</v>
      </c>
      <c r="H6" t="s">
        <v>1</v>
      </c>
      <c r="I6" t="s">
        <v>2</v>
      </c>
      <c r="J6" s="3">
        <f>J5-SUM(J7:J15)</f>
        <v>78063</v>
      </c>
      <c r="K6" s="1"/>
      <c r="L6" s="1" t="s">
        <v>1</v>
      </c>
    </row>
    <row r="7" spans="7:12" x14ac:dyDescent="0.3">
      <c r="G7">
        <v>6</v>
      </c>
      <c r="H7" s="1">
        <f>4.371/2</f>
        <v>2.1855000000000002</v>
      </c>
      <c r="I7" s="1">
        <f t="shared" ref="I7:I14" si="0">H7/$I$5</f>
        <v>0.21855000000000002</v>
      </c>
      <c r="J7" s="2">
        <v>6490</v>
      </c>
      <c r="K7" s="1">
        <f>SUM(J7:J15)/J5</f>
        <v>0.21937000000000001</v>
      </c>
      <c r="L7" s="1">
        <f t="shared" ref="L7:L15" si="1">K7*$I$5</f>
        <v>2.1937000000000002</v>
      </c>
    </row>
    <row r="8" spans="7:12" x14ac:dyDescent="0.3">
      <c r="G8">
        <v>3</v>
      </c>
      <c r="H8" s="1">
        <f>3.095/2</f>
        <v>1.5475000000000001</v>
      </c>
      <c r="I8" s="1">
        <f t="shared" si="0"/>
        <v>0.15475</v>
      </c>
      <c r="J8" s="2">
        <v>4530</v>
      </c>
      <c r="K8" s="1">
        <f>SUM(J8:J15)/J5</f>
        <v>0.15447</v>
      </c>
      <c r="L8" s="1">
        <f t="shared" si="1"/>
        <v>1.5447</v>
      </c>
    </row>
    <row r="9" spans="7:12" x14ac:dyDescent="0.3">
      <c r="G9">
        <v>0</v>
      </c>
      <c r="H9">
        <f>2.19/2</f>
        <v>1.095</v>
      </c>
      <c r="I9" s="1">
        <f t="shared" si="0"/>
        <v>0.1095</v>
      </c>
      <c r="J9" s="2">
        <v>3160</v>
      </c>
      <c r="K9" s="1">
        <f>SUM(J9:J15)/J5</f>
        <v>0.10917</v>
      </c>
      <c r="L9" s="1">
        <f t="shared" si="1"/>
        <v>1.0917000000000001</v>
      </c>
    </row>
    <row r="10" spans="7:12" x14ac:dyDescent="0.3">
      <c r="G10">
        <v>-3</v>
      </c>
      <c r="H10" s="1">
        <f>1.551/2</f>
        <v>0.77549999999999997</v>
      </c>
      <c r="I10" s="1">
        <f t="shared" si="0"/>
        <v>7.7549999999999994E-2</v>
      </c>
      <c r="J10" s="2">
        <v>2260</v>
      </c>
      <c r="K10" s="1">
        <f>SUM(J10:J15)/J5</f>
        <v>7.757E-2</v>
      </c>
      <c r="L10" s="1">
        <f t="shared" si="1"/>
        <v>0.77570000000000006</v>
      </c>
    </row>
    <row r="11" spans="7:12" x14ac:dyDescent="0.3">
      <c r="G11">
        <v>-6</v>
      </c>
      <c r="H11">
        <f>1.098/2</f>
        <v>0.54900000000000004</v>
      </c>
      <c r="I11" s="1">
        <f t="shared" si="0"/>
        <v>5.4900000000000004E-2</v>
      </c>
      <c r="J11" s="2">
        <v>1620</v>
      </c>
      <c r="K11" s="1">
        <f>SUM(J11:J15)/J5</f>
        <v>5.4969999999999998E-2</v>
      </c>
      <c r="L11" s="1">
        <f t="shared" si="1"/>
        <v>0.54969999999999997</v>
      </c>
    </row>
    <row r="12" spans="7:12" x14ac:dyDescent="0.3">
      <c r="G12">
        <v>-9</v>
      </c>
      <c r="H12" s="1">
        <f>0.777/2</f>
        <v>0.38850000000000001</v>
      </c>
      <c r="I12" s="1">
        <f t="shared" si="0"/>
        <v>3.8850000000000003E-2</v>
      </c>
      <c r="J12" s="2">
        <v>1130</v>
      </c>
      <c r="K12" s="1">
        <f>SUM(J12:J15)/J5</f>
        <v>3.8769999999999999E-2</v>
      </c>
      <c r="L12" s="1">
        <f t="shared" si="1"/>
        <v>0.38769999999999999</v>
      </c>
    </row>
    <row r="13" spans="7:12" x14ac:dyDescent="0.3">
      <c r="G13">
        <v>-12</v>
      </c>
      <c r="H13">
        <f>0.55/2</f>
        <v>0.27500000000000002</v>
      </c>
      <c r="I13" s="1">
        <f t="shared" si="0"/>
        <v>2.7500000000000004E-2</v>
      </c>
      <c r="J13" s="2">
        <v>787</v>
      </c>
      <c r="K13" s="1">
        <f>SUM(J13:J15)/J5</f>
        <v>2.7470000000000001E-2</v>
      </c>
      <c r="L13" s="1">
        <f t="shared" si="1"/>
        <v>0.2747</v>
      </c>
    </row>
    <row r="14" spans="7:12" x14ac:dyDescent="0.3">
      <c r="G14">
        <v>-18</v>
      </c>
      <c r="H14">
        <f>0.39/2</f>
        <v>0.19500000000000001</v>
      </c>
      <c r="I14" s="1">
        <f t="shared" si="0"/>
        <v>1.95E-2</v>
      </c>
      <c r="J14" s="2">
        <v>560</v>
      </c>
      <c r="K14" s="1">
        <f>SUM(J14:J15)/J5</f>
        <v>1.9599999999999999E-2</v>
      </c>
      <c r="L14" s="1">
        <f t="shared" si="1"/>
        <v>0.19600000000000001</v>
      </c>
    </row>
    <row r="15" spans="7:12" x14ac:dyDescent="0.3">
      <c r="G15">
        <v>-21</v>
      </c>
      <c r="H15">
        <f>0.276/2</f>
        <v>0.13800000000000001</v>
      </c>
      <c r="I15" s="1">
        <f>H15/$I$5</f>
        <v>1.3800000000000002E-2</v>
      </c>
      <c r="J15" s="2">
        <v>1400</v>
      </c>
      <c r="K15" s="1">
        <f t="shared" ref="K15" si="2">J15/$J$5</f>
        <v>1.4E-2</v>
      </c>
      <c r="L15" s="1">
        <f t="shared" si="1"/>
        <v>0.14000000000000001</v>
      </c>
    </row>
    <row r="16" spans="7:12" x14ac:dyDescent="0.3">
      <c r="I16" t="s">
        <v>4</v>
      </c>
    </row>
    <row r="20" spans="10:10" x14ac:dyDescent="0.3">
      <c r="J20">
        <v>76800</v>
      </c>
    </row>
    <row r="21" spans="10:10" x14ac:dyDescent="0.3">
      <c r="J21">
        <v>1270</v>
      </c>
    </row>
    <row r="22" spans="10:10" x14ac:dyDescent="0.3">
      <c r="J22">
        <f>J21+J20</f>
        <v>78070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C1236-186E-4F8D-ACF7-7671CAF785F5}">
  <dimension ref="G4:L10"/>
  <sheetViews>
    <sheetView tabSelected="1" workbookViewId="0">
      <selection activeCell="I6" sqref="I6"/>
    </sheetView>
  </sheetViews>
  <sheetFormatPr defaultRowHeight="14.4" x14ac:dyDescent="0.3"/>
  <cols>
    <col min="9" max="9" width="10.44140625" customWidth="1"/>
    <col min="10" max="10" width="15.77734375" customWidth="1"/>
  </cols>
  <sheetData>
    <row r="4" spans="7:12" x14ac:dyDescent="0.3">
      <c r="I4" t="s">
        <v>3</v>
      </c>
      <c r="J4" t="s">
        <v>5</v>
      </c>
    </row>
    <row r="5" spans="7:12" x14ac:dyDescent="0.3">
      <c r="I5">
        <v>11.75</v>
      </c>
      <c r="J5">
        <f>SUM(J6:J9)</f>
        <v>104500</v>
      </c>
    </row>
    <row r="6" spans="7:12" x14ac:dyDescent="0.3">
      <c r="G6" t="s">
        <v>0</v>
      </c>
      <c r="H6" t="s">
        <v>1</v>
      </c>
      <c r="I6" t="s">
        <v>2</v>
      </c>
      <c r="J6" s="3">
        <v>56000</v>
      </c>
      <c r="K6" s="1"/>
      <c r="L6" s="1" t="s">
        <v>1</v>
      </c>
    </row>
    <row r="7" spans="7:12" x14ac:dyDescent="0.3">
      <c r="G7">
        <v>14</v>
      </c>
      <c r="H7" s="1">
        <v>5.5</v>
      </c>
      <c r="I7" s="1">
        <f t="shared" ref="I7:I9" si="0">H7/$I$5</f>
        <v>0.46808510638297873</v>
      </c>
      <c r="J7" s="2">
        <v>8200</v>
      </c>
      <c r="K7" s="1">
        <f>SUM(J7:J9)/SUM(J6:J9)</f>
        <v>0.46411483253588515</v>
      </c>
      <c r="L7" s="1">
        <f t="shared" ref="L7:L9" si="1">K7*$I$5</f>
        <v>5.4533492822966503</v>
      </c>
    </row>
    <row r="8" spans="7:12" x14ac:dyDescent="0.3">
      <c r="G8">
        <v>12</v>
      </c>
      <c r="H8" s="1">
        <v>4.5</v>
      </c>
      <c r="I8" s="1">
        <f t="shared" si="0"/>
        <v>0.38297872340425532</v>
      </c>
      <c r="J8" s="2">
        <v>39000</v>
      </c>
      <c r="K8" s="1">
        <f>SUM(J8:J9)/SUM(J6:J9)</f>
        <v>0.38564593301435407</v>
      </c>
      <c r="L8" s="1">
        <f t="shared" si="1"/>
        <v>4.5313397129186601</v>
      </c>
    </row>
    <row r="9" spans="7:12" x14ac:dyDescent="0.3">
      <c r="G9">
        <v>-17</v>
      </c>
      <c r="H9" s="1">
        <f>0.15</f>
        <v>0.15</v>
      </c>
      <c r="I9" s="1">
        <f t="shared" si="0"/>
        <v>1.276595744680851E-2</v>
      </c>
      <c r="J9" s="2">
        <v>1300</v>
      </c>
      <c r="K9" s="1">
        <f>SUM(J9:J9)/SUM(J6:J9)</f>
        <v>1.2440191387559809E-2</v>
      </c>
      <c r="L9" s="1">
        <f t="shared" si="1"/>
        <v>0.14617224880382776</v>
      </c>
    </row>
    <row r="10" spans="7:12" x14ac:dyDescent="0.3">
      <c r="I10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Out 11v75</vt:lpstr>
      <vt:lpstr>10V</vt:lpstr>
      <vt:lpstr>In 11v75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De Marco</dc:creator>
  <cp:lastModifiedBy>Rodrigo De Marco</cp:lastModifiedBy>
  <dcterms:created xsi:type="dcterms:W3CDTF">2025-12-15T20:41:55Z</dcterms:created>
  <dcterms:modified xsi:type="dcterms:W3CDTF">2025-12-19T20:57:32Z</dcterms:modified>
</cp:coreProperties>
</file>