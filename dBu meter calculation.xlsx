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drigo\Documents\GitHub\DMH-Output\"/>
    </mc:Choice>
  </mc:AlternateContent>
  <xr:revisionPtr revIDLastSave="0" documentId="13_ncr:1_{72E4304B-DD82-42CB-9F4B-034D0DB18BBE}" xr6:coauthVersionLast="47" xr6:coauthVersionMax="47" xr10:uidLastSave="{00000000-0000-0000-0000-000000000000}"/>
  <bookViews>
    <workbookView xWindow="-108" yWindow="-108" windowWidth="23256" windowHeight="12456" xr2:uid="{34920A5C-097A-4EEA-8361-CAFEEE971C72}"/>
  </bookViews>
  <sheets>
    <sheet name="11v75" sheetId="2" r:id="rId1"/>
    <sheet name="10V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3" l="1"/>
  <c r="J6" i="3"/>
  <c r="K15" i="3"/>
  <c r="L15" i="3" s="1"/>
  <c r="H15" i="3"/>
  <c r="I15" i="3" s="1"/>
  <c r="K14" i="3"/>
  <c r="L14" i="3" s="1"/>
  <c r="H14" i="3"/>
  <c r="I14" i="3" s="1"/>
  <c r="K13" i="3"/>
  <c r="L13" i="3" s="1"/>
  <c r="I13" i="3"/>
  <c r="H13" i="3"/>
  <c r="K12" i="3"/>
  <c r="L12" i="3" s="1"/>
  <c r="H12" i="3"/>
  <c r="I12" i="3" s="1"/>
  <c r="K11" i="3"/>
  <c r="L11" i="3" s="1"/>
  <c r="I11" i="3"/>
  <c r="H11" i="3"/>
  <c r="K10" i="3"/>
  <c r="L10" i="3" s="1"/>
  <c r="I10" i="3"/>
  <c r="H10" i="3"/>
  <c r="K9" i="3"/>
  <c r="L9" i="3" s="1"/>
  <c r="I9" i="3"/>
  <c r="H9" i="3"/>
  <c r="K8" i="3"/>
  <c r="L8" i="3" s="1"/>
  <c r="H8" i="3"/>
  <c r="I8" i="3" s="1"/>
  <c r="K7" i="3"/>
  <c r="L7" i="3" s="1"/>
  <c r="I7" i="3"/>
  <c r="H7" i="3"/>
  <c r="J6" i="2"/>
  <c r="H15" i="2"/>
  <c r="I15" i="2" s="1"/>
  <c r="K14" i="2"/>
  <c r="L14" i="2" s="1"/>
  <c r="I14" i="2"/>
  <c r="H14" i="2"/>
  <c r="H13" i="2"/>
  <c r="I13" i="2" s="1"/>
  <c r="K12" i="2"/>
  <c r="L12" i="2" s="1"/>
  <c r="I12" i="2"/>
  <c r="H12" i="2"/>
  <c r="H11" i="2"/>
  <c r="I11" i="2" s="1"/>
  <c r="K10" i="2"/>
  <c r="L10" i="2" s="1"/>
  <c r="I10" i="2"/>
  <c r="H10" i="2"/>
  <c r="H9" i="2"/>
  <c r="I9" i="2" s="1"/>
  <c r="K8" i="2"/>
  <c r="L8" i="2" s="1"/>
  <c r="I8" i="2"/>
  <c r="H8" i="2"/>
  <c r="H7" i="2"/>
  <c r="I7" i="2" s="1"/>
  <c r="K15" i="2"/>
  <c r="L15" i="2" s="1"/>
  <c r="K7" i="2" l="1"/>
  <c r="L7" i="2" s="1"/>
  <c r="K9" i="2"/>
  <c r="L9" i="2" s="1"/>
  <c r="K11" i="2"/>
  <c r="L11" i="2" s="1"/>
  <c r="K13" i="2"/>
  <c r="L13" i="2" s="1"/>
</calcChain>
</file>

<file path=xl/sharedStrings.xml><?xml version="1.0" encoding="utf-8"?>
<sst xmlns="http://schemas.openxmlformats.org/spreadsheetml/2006/main" count="13" uniqueCount="6">
  <si>
    <t>dBu</t>
  </si>
  <si>
    <t>Vp</t>
  </si>
  <si>
    <t>proportion</t>
  </si>
  <si>
    <t>Vcc</t>
  </si>
  <si>
    <t>total</t>
  </si>
  <si>
    <t>TOTAL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</si>
</sst>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D02EB-515C-4A0B-BB92-62D83B04599D}">
  <dimension ref="G4:L20"/>
  <sheetViews>
    <sheetView tabSelected="1" workbookViewId="0">
      <selection activeCell="I5" sqref="I5"/>
    </sheetView>
  </sheetViews>
  <sheetFormatPr defaultRowHeight="14.4" x14ac:dyDescent="0.3"/>
  <cols>
    <col min="9" max="9" width="10.44140625" customWidth="1"/>
    <col min="10" max="10" width="15.77734375" customWidth="1"/>
  </cols>
  <sheetData>
    <row r="4" spans="7:12" x14ac:dyDescent="0.3">
      <c r="I4" t="s">
        <v>3</v>
      </c>
      <c r="J4" t="s">
        <v>5</v>
      </c>
    </row>
    <row r="5" spans="7:12" x14ac:dyDescent="0.3">
      <c r="I5">
        <v>11.75</v>
      </c>
      <c r="J5">
        <v>100</v>
      </c>
    </row>
    <row r="6" spans="7:12" x14ac:dyDescent="0.3">
      <c r="G6" t="s">
        <v>0</v>
      </c>
      <c r="H6" t="s">
        <v>1</v>
      </c>
      <c r="I6" t="s">
        <v>2</v>
      </c>
      <c r="J6" s="3">
        <f>J5-SUM(J7:J15)</f>
        <v>81.349999999999994</v>
      </c>
      <c r="K6" s="1"/>
      <c r="L6" s="1"/>
    </row>
    <row r="7" spans="7:12" x14ac:dyDescent="0.3">
      <c r="G7">
        <v>6</v>
      </c>
      <c r="H7" s="1">
        <f>4.371/2</f>
        <v>2.1855000000000002</v>
      </c>
      <c r="I7">
        <f t="shared" ref="I7:I14" si="0">H7/$I$5</f>
        <v>0.18600000000000003</v>
      </c>
      <c r="J7" s="2">
        <v>5.49</v>
      </c>
      <c r="K7" s="1">
        <f>SUM(J7:J15)/J5</f>
        <v>0.1865</v>
      </c>
      <c r="L7" s="1">
        <f t="shared" ref="L7:L15" si="1">K7*$I$5</f>
        <v>2.1913749999999999</v>
      </c>
    </row>
    <row r="8" spans="7:12" x14ac:dyDescent="0.3">
      <c r="G8">
        <v>3</v>
      </c>
      <c r="H8" s="1">
        <f>3.095/2</f>
        <v>1.5475000000000001</v>
      </c>
      <c r="I8" s="1">
        <f t="shared" si="0"/>
        <v>0.13170212765957448</v>
      </c>
      <c r="J8" s="2">
        <v>3.83</v>
      </c>
      <c r="K8" s="1">
        <f>SUM(J8:J15)/J5</f>
        <v>0.13160000000000002</v>
      </c>
      <c r="L8" s="1">
        <f t="shared" si="1"/>
        <v>1.5463000000000002</v>
      </c>
    </row>
    <row r="9" spans="7:12" x14ac:dyDescent="0.3">
      <c r="G9">
        <v>0</v>
      </c>
      <c r="H9">
        <f>2.19/2</f>
        <v>1.095</v>
      </c>
      <c r="I9" s="1">
        <f t="shared" si="0"/>
        <v>9.3191489361702129E-2</v>
      </c>
      <c r="J9" s="2">
        <v>2.74</v>
      </c>
      <c r="K9" s="1">
        <f>SUM(J9:J15)/J5</f>
        <v>9.3299999999999994E-2</v>
      </c>
      <c r="L9" s="1">
        <f t="shared" si="1"/>
        <v>1.0962749999999999</v>
      </c>
    </row>
    <row r="10" spans="7:12" x14ac:dyDescent="0.3">
      <c r="G10">
        <v>-3</v>
      </c>
      <c r="H10" s="1">
        <f>1.551/2</f>
        <v>0.77549999999999997</v>
      </c>
      <c r="I10" s="1">
        <f t="shared" si="0"/>
        <v>6.6000000000000003E-2</v>
      </c>
      <c r="J10" s="2">
        <v>1.91</v>
      </c>
      <c r="K10" s="1">
        <f>SUM(J10:J15)/J5</f>
        <v>6.5899999999999986E-2</v>
      </c>
      <c r="L10" s="1">
        <f t="shared" si="1"/>
        <v>0.77432499999999982</v>
      </c>
    </row>
    <row r="11" spans="7:12" x14ac:dyDescent="0.3">
      <c r="G11">
        <v>-6</v>
      </c>
      <c r="H11">
        <f>1.098/2</f>
        <v>0.54900000000000004</v>
      </c>
      <c r="I11" s="1">
        <f t="shared" si="0"/>
        <v>4.6723404255319151E-2</v>
      </c>
      <c r="J11" s="2">
        <v>1.37</v>
      </c>
      <c r="K11" s="1">
        <f>SUM(J11:J15)/J5</f>
        <v>4.6799999999999994E-2</v>
      </c>
      <c r="L11" s="1">
        <f t="shared" si="1"/>
        <v>0.54989999999999994</v>
      </c>
    </row>
    <row r="12" spans="7:12" x14ac:dyDescent="0.3">
      <c r="G12">
        <v>-9</v>
      </c>
      <c r="H12" s="1">
        <f>0.777/2</f>
        <v>0.38850000000000001</v>
      </c>
      <c r="I12" s="1">
        <f t="shared" si="0"/>
        <v>3.3063829787234045E-2</v>
      </c>
      <c r="J12" s="2">
        <v>0.98</v>
      </c>
      <c r="K12" s="1">
        <f>SUM(J12:J15)/J5</f>
        <v>3.3099999999999997E-2</v>
      </c>
      <c r="L12" s="1">
        <f t="shared" si="1"/>
        <v>0.38892499999999997</v>
      </c>
    </row>
    <row r="13" spans="7:12" x14ac:dyDescent="0.3">
      <c r="G13">
        <v>-12</v>
      </c>
      <c r="H13">
        <f>0.55/2</f>
        <v>0.27500000000000002</v>
      </c>
      <c r="I13" s="1">
        <f t="shared" si="0"/>
        <v>2.3404255319148939E-2</v>
      </c>
      <c r="J13" s="2">
        <v>0.68</v>
      </c>
      <c r="K13" s="1">
        <f>SUM(J13:J15)/J5</f>
        <v>2.3300000000000001E-2</v>
      </c>
      <c r="L13" s="1">
        <f t="shared" si="1"/>
        <v>0.27377499999999999</v>
      </c>
    </row>
    <row r="14" spans="7:12" x14ac:dyDescent="0.3">
      <c r="G14">
        <v>-18</v>
      </c>
      <c r="H14">
        <f>0.39/2</f>
        <v>0.19500000000000001</v>
      </c>
      <c r="I14" s="1">
        <f t="shared" si="0"/>
        <v>1.6595744680851066E-2</v>
      </c>
      <c r="J14" s="2">
        <v>0.47</v>
      </c>
      <c r="K14" s="1">
        <f>SUM(J14:J15)/J5</f>
        <v>1.6500000000000001E-2</v>
      </c>
      <c r="L14" s="1">
        <f t="shared" si="1"/>
        <v>0.19387500000000002</v>
      </c>
    </row>
    <row r="15" spans="7:12" x14ac:dyDescent="0.3">
      <c r="G15">
        <v>-21</v>
      </c>
      <c r="H15">
        <f>0.276/2</f>
        <v>0.13800000000000001</v>
      </c>
      <c r="I15" s="1">
        <f>H15/$I$5</f>
        <v>1.1744680851063831E-2</v>
      </c>
      <c r="J15" s="2">
        <v>1.18</v>
      </c>
      <c r="K15" s="1">
        <f t="shared" ref="K15:K23" si="2">J15/$J$5</f>
        <v>1.18E-2</v>
      </c>
      <c r="L15" s="1">
        <f t="shared" si="1"/>
        <v>0.13865</v>
      </c>
    </row>
    <row r="16" spans="7:12" x14ac:dyDescent="0.3">
      <c r="I16" t="s">
        <v>4</v>
      </c>
    </row>
    <row r="19" spans="10:10" x14ac:dyDescent="0.3">
      <c r="J19">
        <v>80.599999999999994</v>
      </c>
    </row>
    <row r="20" spans="10:10" x14ac:dyDescent="0.3">
      <c r="J20">
        <v>0.75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38745-C031-44EB-8DE0-C90EAC00962D}">
  <dimension ref="G4:L22"/>
  <sheetViews>
    <sheetView workbookViewId="0">
      <selection activeCell="E22" sqref="E22"/>
    </sheetView>
  </sheetViews>
  <sheetFormatPr defaultRowHeight="14.4" x14ac:dyDescent="0.3"/>
  <cols>
    <col min="9" max="9" width="10.44140625" customWidth="1"/>
    <col min="10" max="10" width="15.77734375" customWidth="1"/>
  </cols>
  <sheetData>
    <row r="4" spans="7:12" x14ac:dyDescent="0.3">
      <c r="I4" t="s">
        <v>3</v>
      </c>
      <c r="J4" t="s">
        <v>5</v>
      </c>
    </row>
    <row r="5" spans="7:12" x14ac:dyDescent="0.3">
      <c r="I5">
        <v>10</v>
      </c>
      <c r="J5">
        <v>100000</v>
      </c>
    </row>
    <row r="6" spans="7:12" x14ac:dyDescent="0.3">
      <c r="G6" t="s">
        <v>0</v>
      </c>
      <c r="H6" t="s">
        <v>1</v>
      </c>
      <c r="I6" t="s">
        <v>2</v>
      </c>
      <c r="J6" s="3">
        <f>J5-SUM(J7:J15)</f>
        <v>78063</v>
      </c>
      <c r="K6" s="1"/>
      <c r="L6" s="1" t="s">
        <v>1</v>
      </c>
    </row>
    <row r="7" spans="7:12" x14ac:dyDescent="0.3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2">
        <v>6490</v>
      </c>
      <c r="K7" s="1">
        <f>SUM(J7:J15)/J5</f>
        <v>0.21937000000000001</v>
      </c>
      <c r="L7" s="1">
        <f t="shared" ref="L7:L15" si="1">K7*$I$5</f>
        <v>2.1937000000000002</v>
      </c>
    </row>
    <row r="8" spans="7:12" x14ac:dyDescent="0.3">
      <c r="G8">
        <v>3</v>
      </c>
      <c r="H8" s="1">
        <f>3.095/2</f>
        <v>1.5475000000000001</v>
      </c>
      <c r="I8" s="1">
        <f t="shared" si="0"/>
        <v>0.15475</v>
      </c>
      <c r="J8" s="2">
        <v>4530</v>
      </c>
      <c r="K8" s="1">
        <f>SUM(J8:J15)/J5</f>
        <v>0.15447</v>
      </c>
      <c r="L8" s="1">
        <f t="shared" si="1"/>
        <v>1.5447</v>
      </c>
    </row>
    <row r="9" spans="7:12" x14ac:dyDescent="0.3">
      <c r="G9">
        <v>0</v>
      </c>
      <c r="H9">
        <f>2.19/2</f>
        <v>1.095</v>
      </c>
      <c r="I9" s="1">
        <f t="shared" si="0"/>
        <v>0.1095</v>
      </c>
      <c r="J9" s="2">
        <v>3160</v>
      </c>
      <c r="K9" s="1">
        <f>SUM(J9:J15)/J5</f>
        <v>0.10917</v>
      </c>
      <c r="L9" s="1">
        <f t="shared" si="1"/>
        <v>1.0917000000000001</v>
      </c>
    </row>
    <row r="10" spans="7:12" x14ac:dyDescent="0.3">
      <c r="G10">
        <v>-3</v>
      </c>
      <c r="H10" s="1">
        <f>1.551/2</f>
        <v>0.77549999999999997</v>
      </c>
      <c r="I10" s="1">
        <f t="shared" si="0"/>
        <v>7.7549999999999994E-2</v>
      </c>
      <c r="J10" s="2">
        <v>2260</v>
      </c>
      <c r="K10" s="1">
        <f>SUM(J10:J15)/J5</f>
        <v>7.757E-2</v>
      </c>
      <c r="L10" s="1">
        <f t="shared" si="1"/>
        <v>0.77570000000000006</v>
      </c>
    </row>
    <row r="11" spans="7:12" x14ac:dyDescent="0.3">
      <c r="G11">
        <v>-6</v>
      </c>
      <c r="H11">
        <f>1.098/2</f>
        <v>0.54900000000000004</v>
      </c>
      <c r="I11" s="1">
        <f t="shared" si="0"/>
        <v>5.4900000000000004E-2</v>
      </c>
      <c r="J11" s="2">
        <v>1620</v>
      </c>
      <c r="K11" s="1">
        <f>SUM(J11:J15)/J5</f>
        <v>5.4969999999999998E-2</v>
      </c>
      <c r="L11" s="1">
        <f t="shared" si="1"/>
        <v>0.54969999999999997</v>
      </c>
    </row>
    <row r="12" spans="7:12" x14ac:dyDescent="0.3">
      <c r="G12">
        <v>-9</v>
      </c>
      <c r="H12" s="1">
        <f>0.777/2</f>
        <v>0.38850000000000001</v>
      </c>
      <c r="I12" s="1">
        <f t="shared" si="0"/>
        <v>3.8850000000000003E-2</v>
      </c>
      <c r="J12" s="2">
        <v>1130</v>
      </c>
      <c r="K12" s="1">
        <f>SUM(J12:J15)/J5</f>
        <v>3.8769999999999999E-2</v>
      </c>
      <c r="L12" s="1">
        <f t="shared" si="1"/>
        <v>0.38769999999999999</v>
      </c>
    </row>
    <row r="13" spans="7:12" x14ac:dyDescent="0.3">
      <c r="G13">
        <v>-12</v>
      </c>
      <c r="H13">
        <f>0.55/2</f>
        <v>0.27500000000000002</v>
      </c>
      <c r="I13" s="1">
        <f t="shared" si="0"/>
        <v>2.7500000000000004E-2</v>
      </c>
      <c r="J13" s="2">
        <v>787</v>
      </c>
      <c r="K13" s="1">
        <f>SUM(J13:J15)/J5</f>
        <v>2.7470000000000001E-2</v>
      </c>
      <c r="L13" s="1">
        <f t="shared" si="1"/>
        <v>0.2747</v>
      </c>
    </row>
    <row r="14" spans="7:12" x14ac:dyDescent="0.3">
      <c r="G14">
        <v>-18</v>
      </c>
      <c r="H14">
        <f>0.39/2</f>
        <v>0.19500000000000001</v>
      </c>
      <c r="I14" s="1">
        <f t="shared" si="0"/>
        <v>1.95E-2</v>
      </c>
      <c r="J14" s="2">
        <v>560</v>
      </c>
      <c r="K14" s="1">
        <f>SUM(J14:J15)/J5</f>
        <v>1.9599999999999999E-2</v>
      </c>
      <c r="L14" s="1">
        <f t="shared" si="1"/>
        <v>0.19600000000000001</v>
      </c>
    </row>
    <row r="15" spans="7:12" x14ac:dyDescent="0.3">
      <c r="G15">
        <v>-21</v>
      </c>
      <c r="H15">
        <f>0.276/2</f>
        <v>0.13800000000000001</v>
      </c>
      <c r="I15" s="1">
        <f>H15/$I$5</f>
        <v>1.3800000000000002E-2</v>
      </c>
      <c r="J15" s="2">
        <v>1400</v>
      </c>
      <c r="K15" s="1">
        <f t="shared" ref="K15:K23" si="2">J15/$J$5</f>
        <v>1.4E-2</v>
      </c>
      <c r="L15" s="1">
        <f t="shared" si="1"/>
        <v>0.14000000000000001</v>
      </c>
    </row>
    <row r="16" spans="7:12" x14ac:dyDescent="0.3">
      <c r="I16" t="s">
        <v>4</v>
      </c>
    </row>
    <row r="20" spans="10:10" x14ac:dyDescent="0.3">
      <c r="J20">
        <v>76800</v>
      </c>
    </row>
    <row r="21" spans="10:10" x14ac:dyDescent="0.3">
      <c r="J21">
        <v>1270</v>
      </c>
    </row>
    <row r="22" spans="10:10" x14ac:dyDescent="0.3">
      <c r="J22">
        <f>J21+J20</f>
        <v>78070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11v75</vt:lpstr>
      <vt:lpstr>10V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De Marco</dc:creator>
  <cp:lastModifiedBy>Rodrigo De Marco</cp:lastModifiedBy>
  <dcterms:created xsi:type="dcterms:W3CDTF">2025-12-15T20:41:55Z</dcterms:created>
  <dcterms:modified xsi:type="dcterms:W3CDTF">2025-12-15T23:38:40Z</dcterms:modified>
</cp:coreProperties>
</file>