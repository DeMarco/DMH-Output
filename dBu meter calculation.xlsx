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dri\Documents\GitHub\DMH-Output\"/>
    </mc:Choice>
  </mc:AlternateContent>
  <xr:revisionPtr revIDLastSave="0" documentId="13_ncr:1_{D563AD1F-5818-47CF-B116-FF3C5ECCD93C}" xr6:coauthVersionLast="47" xr6:coauthVersionMax="47" xr10:uidLastSave="{00000000-0000-0000-0000-000000000000}"/>
  <bookViews>
    <workbookView xWindow="-108" yWindow="-108" windowWidth="23256" windowHeight="12456" activeTab="4" xr2:uid="{34920A5C-097A-4EEA-8361-CAFEEE971C72}"/>
  </bookViews>
  <sheets>
    <sheet name="Out 11v70" sheetId="6" r:id="rId1"/>
    <sheet name="Out 11v75" sheetId="2" r:id="rId2"/>
    <sheet name="10V" sheetId="3" r:id="rId3"/>
    <sheet name="In 11v75" sheetId="5" r:id="rId4"/>
    <sheet name="Out 11v70 (2)" sheetId="7" r:id="rId5"/>
    <sheet name="Out 10V" sheetId="8" r:id="rId6"/>
    <sheet name="Out 10V (2)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9" l="1"/>
  <c r="N16" i="9" s="1"/>
  <c r="O16" i="9" s="1"/>
  <c r="P16" i="9" s="1"/>
  <c r="K16" i="9"/>
  <c r="L16" i="9" s="1"/>
  <c r="H16" i="9"/>
  <c r="I16" i="9" s="1"/>
  <c r="M15" i="9"/>
  <c r="N15" i="9" s="1"/>
  <c r="O15" i="9" s="1"/>
  <c r="P15" i="9" s="1"/>
  <c r="K15" i="9"/>
  <c r="L15" i="9" s="1"/>
  <c r="H15" i="9"/>
  <c r="I15" i="9" s="1"/>
  <c r="M14" i="9"/>
  <c r="N14" i="9" s="1"/>
  <c r="O14" i="9" s="1"/>
  <c r="P14" i="9" s="1"/>
  <c r="K14" i="9"/>
  <c r="L14" i="9" s="1"/>
  <c r="H14" i="9"/>
  <c r="I14" i="9" s="1"/>
  <c r="M13" i="9"/>
  <c r="N13" i="9" s="1"/>
  <c r="O13" i="9" s="1"/>
  <c r="P13" i="9" s="1"/>
  <c r="K13" i="9"/>
  <c r="L13" i="9" s="1"/>
  <c r="H13" i="9"/>
  <c r="I13" i="9" s="1"/>
  <c r="M12" i="9"/>
  <c r="N12" i="9" s="1"/>
  <c r="O12" i="9" s="1"/>
  <c r="P12" i="9" s="1"/>
  <c r="K12" i="9"/>
  <c r="L12" i="9" s="1"/>
  <c r="H12" i="9"/>
  <c r="I12" i="9" s="1"/>
  <c r="M11" i="9"/>
  <c r="N11" i="9" s="1"/>
  <c r="O11" i="9" s="1"/>
  <c r="P11" i="9" s="1"/>
  <c r="K11" i="9"/>
  <c r="L11" i="9" s="1"/>
  <c r="H11" i="9"/>
  <c r="I11" i="9" s="1"/>
  <c r="M10" i="9"/>
  <c r="N10" i="9" s="1"/>
  <c r="O10" i="9" s="1"/>
  <c r="P10" i="9" s="1"/>
  <c r="K10" i="9"/>
  <c r="L10" i="9" s="1"/>
  <c r="H10" i="9"/>
  <c r="I10" i="9" s="1"/>
  <c r="M9" i="9"/>
  <c r="N9" i="9" s="1"/>
  <c r="O9" i="9" s="1"/>
  <c r="P9" i="9" s="1"/>
  <c r="K9" i="9"/>
  <c r="L9" i="9" s="1"/>
  <c r="H9" i="9"/>
  <c r="I9" i="9" s="1"/>
  <c r="M8" i="9"/>
  <c r="N8" i="9" s="1"/>
  <c r="O8" i="9" s="1"/>
  <c r="P8" i="9" s="1"/>
  <c r="K8" i="9"/>
  <c r="L8" i="9" s="1"/>
  <c r="H8" i="9"/>
  <c r="I8" i="9" s="1"/>
  <c r="M7" i="9"/>
  <c r="N7" i="9" s="1"/>
  <c r="O7" i="9" s="1"/>
  <c r="P7" i="9" s="1"/>
  <c r="K7" i="9"/>
  <c r="L7" i="9" s="1"/>
  <c r="H7" i="9"/>
  <c r="I7" i="9" s="1"/>
  <c r="H7" i="8"/>
  <c r="I7" i="8"/>
  <c r="H8" i="8"/>
  <c r="I8" i="8"/>
  <c r="H9" i="8"/>
  <c r="I9" i="8"/>
  <c r="H10" i="8"/>
  <c r="I10" i="8"/>
  <c r="H11" i="8"/>
  <c r="I11" i="8"/>
  <c r="H12" i="8"/>
  <c r="I12" i="8"/>
  <c r="H13" i="8"/>
  <c r="I13" i="8"/>
  <c r="H14" i="8"/>
  <c r="I14" i="8"/>
  <c r="H15" i="8"/>
  <c r="I15" i="8"/>
  <c r="H16" i="8"/>
  <c r="I16" i="8"/>
  <c r="M16" i="8"/>
  <c r="N16" i="8" s="1"/>
  <c r="O16" i="8" s="1"/>
  <c r="P16" i="8" s="1"/>
  <c r="K16" i="8"/>
  <c r="L16" i="8" s="1"/>
  <c r="M15" i="8"/>
  <c r="N15" i="8" s="1"/>
  <c r="O15" i="8" s="1"/>
  <c r="P15" i="8" s="1"/>
  <c r="K15" i="8"/>
  <c r="L15" i="8" s="1"/>
  <c r="M14" i="8"/>
  <c r="N14" i="8" s="1"/>
  <c r="O14" i="8" s="1"/>
  <c r="P14" i="8" s="1"/>
  <c r="K14" i="8"/>
  <c r="L14" i="8" s="1"/>
  <c r="M13" i="8"/>
  <c r="N13" i="8" s="1"/>
  <c r="O13" i="8" s="1"/>
  <c r="P13" i="8" s="1"/>
  <c r="K13" i="8"/>
  <c r="L13" i="8" s="1"/>
  <c r="M12" i="8"/>
  <c r="N12" i="8" s="1"/>
  <c r="O12" i="8" s="1"/>
  <c r="P12" i="8" s="1"/>
  <c r="K12" i="8"/>
  <c r="L12" i="8" s="1"/>
  <c r="M11" i="8"/>
  <c r="N11" i="8" s="1"/>
  <c r="O11" i="8" s="1"/>
  <c r="P11" i="8" s="1"/>
  <c r="K11" i="8"/>
  <c r="L11" i="8" s="1"/>
  <c r="M10" i="8"/>
  <c r="N10" i="8" s="1"/>
  <c r="O10" i="8" s="1"/>
  <c r="P10" i="8" s="1"/>
  <c r="K10" i="8"/>
  <c r="L10" i="8" s="1"/>
  <c r="M9" i="8"/>
  <c r="N9" i="8" s="1"/>
  <c r="O9" i="8" s="1"/>
  <c r="P9" i="8" s="1"/>
  <c r="K9" i="8"/>
  <c r="L9" i="8" s="1"/>
  <c r="M8" i="8"/>
  <c r="N8" i="8" s="1"/>
  <c r="O8" i="8" s="1"/>
  <c r="P8" i="8" s="1"/>
  <c r="K8" i="8"/>
  <c r="L8" i="8" s="1"/>
  <c r="M7" i="8"/>
  <c r="N7" i="8" s="1"/>
  <c r="O7" i="8" s="1"/>
  <c r="P7" i="8" s="1"/>
  <c r="K7" i="8"/>
  <c r="L7" i="8" s="1"/>
  <c r="M16" i="7"/>
  <c r="N16" i="7" s="1"/>
  <c r="O16" i="7" s="1"/>
  <c r="P16" i="7" s="1"/>
  <c r="K16" i="7"/>
  <c r="L16" i="7" s="1"/>
  <c r="H16" i="7"/>
  <c r="I16" i="7" s="1"/>
  <c r="M15" i="7"/>
  <c r="N15" i="7" s="1"/>
  <c r="O15" i="7" s="1"/>
  <c r="P15" i="7" s="1"/>
  <c r="K15" i="7"/>
  <c r="L15" i="7" s="1"/>
  <c r="H15" i="7"/>
  <c r="I15" i="7" s="1"/>
  <c r="M14" i="7"/>
  <c r="N14" i="7" s="1"/>
  <c r="O14" i="7" s="1"/>
  <c r="P14" i="7" s="1"/>
  <c r="K14" i="7"/>
  <c r="L14" i="7" s="1"/>
  <c r="H14" i="7"/>
  <c r="I14" i="7" s="1"/>
  <c r="M13" i="7"/>
  <c r="N13" i="7" s="1"/>
  <c r="O13" i="7" s="1"/>
  <c r="P13" i="7" s="1"/>
  <c r="K13" i="7"/>
  <c r="L13" i="7" s="1"/>
  <c r="H13" i="7"/>
  <c r="I13" i="7" s="1"/>
  <c r="M12" i="7"/>
  <c r="N12" i="7" s="1"/>
  <c r="O12" i="7" s="1"/>
  <c r="P12" i="7" s="1"/>
  <c r="K12" i="7"/>
  <c r="L12" i="7" s="1"/>
  <c r="H12" i="7"/>
  <c r="I12" i="7" s="1"/>
  <c r="M11" i="7"/>
  <c r="N11" i="7" s="1"/>
  <c r="O11" i="7" s="1"/>
  <c r="P11" i="7" s="1"/>
  <c r="K11" i="7"/>
  <c r="L11" i="7" s="1"/>
  <c r="H11" i="7"/>
  <c r="I11" i="7" s="1"/>
  <c r="M10" i="7"/>
  <c r="N10" i="7" s="1"/>
  <c r="O10" i="7" s="1"/>
  <c r="P10" i="7" s="1"/>
  <c r="K10" i="7"/>
  <c r="L10" i="7" s="1"/>
  <c r="H10" i="7"/>
  <c r="I10" i="7" s="1"/>
  <c r="M9" i="7"/>
  <c r="N9" i="7" s="1"/>
  <c r="O9" i="7" s="1"/>
  <c r="P9" i="7" s="1"/>
  <c r="K9" i="7"/>
  <c r="L9" i="7" s="1"/>
  <c r="H9" i="7"/>
  <c r="I9" i="7" s="1"/>
  <c r="M8" i="7"/>
  <c r="N8" i="7" s="1"/>
  <c r="O8" i="7" s="1"/>
  <c r="P8" i="7" s="1"/>
  <c r="K8" i="7"/>
  <c r="L8" i="7" s="1"/>
  <c r="H8" i="7"/>
  <c r="I8" i="7" s="1"/>
  <c r="M7" i="7"/>
  <c r="N7" i="7" s="1"/>
  <c r="O7" i="7" s="1"/>
  <c r="P7" i="7" s="1"/>
  <c r="K7" i="7"/>
  <c r="L7" i="7" s="1"/>
  <c r="H7" i="7"/>
  <c r="I7" i="7" s="1"/>
  <c r="O15" i="2"/>
  <c r="P15" i="2" s="1"/>
  <c r="K15" i="6"/>
  <c r="L15" i="6" s="1"/>
  <c r="M16" i="6"/>
  <c r="N16" i="6" s="1"/>
  <c r="K16" i="6"/>
  <c r="L16" i="6" s="1"/>
  <c r="H16" i="6"/>
  <c r="I16" i="6" s="1"/>
  <c r="M15" i="6"/>
  <c r="N15" i="6" s="1"/>
  <c r="H15" i="6"/>
  <c r="I15" i="6" s="1"/>
  <c r="M14" i="6"/>
  <c r="N14" i="6" s="1"/>
  <c r="K14" i="6"/>
  <c r="L14" i="6" s="1"/>
  <c r="H14" i="6"/>
  <c r="I14" i="6" s="1"/>
  <c r="M13" i="6"/>
  <c r="N13" i="6" s="1"/>
  <c r="K13" i="6"/>
  <c r="L13" i="6" s="1"/>
  <c r="H13" i="6"/>
  <c r="I13" i="6" s="1"/>
  <c r="M12" i="6"/>
  <c r="N12" i="6" s="1"/>
  <c r="K12" i="6"/>
  <c r="L12" i="6" s="1"/>
  <c r="H12" i="6"/>
  <c r="I12" i="6" s="1"/>
  <c r="M11" i="6"/>
  <c r="N11" i="6" s="1"/>
  <c r="K11" i="6"/>
  <c r="L11" i="6" s="1"/>
  <c r="H11" i="6"/>
  <c r="I11" i="6" s="1"/>
  <c r="M10" i="6"/>
  <c r="N10" i="6" s="1"/>
  <c r="K10" i="6"/>
  <c r="L10" i="6" s="1"/>
  <c r="H10" i="6"/>
  <c r="I10" i="6" s="1"/>
  <c r="M9" i="6"/>
  <c r="N9" i="6" s="1"/>
  <c r="K9" i="6"/>
  <c r="L9" i="6" s="1"/>
  <c r="H9" i="6"/>
  <c r="I9" i="6" s="1"/>
  <c r="M8" i="6"/>
  <c r="N8" i="6" s="1"/>
  <c r="K8" i="6"/>
  <c r="L8" i="6" s="1"/>
  <c r="H8" i="6"/>
  <c r="I8" i="6" s="1"/>
  <c r="M7" i="6"/>
  <c r="N7" i="6" s="1"/>
  <c r="K7" i="6"/>
  <c r="L7" i="6" s="1"/>
  <c r="H7" i="6"/>
  <c r="I7" i="6" s="1"/>
  <c r="M16" i="2"/>
  <c r="N16" i="2" s="1"/>
  <c r="O16" i="2" s="1"/>
  <c r="P16" i="2" s="1"/>
  <c r="M15" i="2"/>
  <c r="N15" i="2" s="1"/>
  <c r="M14" i="2"/>
  <c r="N14" i="2" s="1"/>
  <c r="O14" i="2" s="1"/>
  <c r="P14" i="2" s="1"/>
  <c r="M13" i="2"/>
  <c r="N13" i="2" s="1"/>
  <c r="O13" i="2" s="1"/>
  <c r="P13" i="2" s="1"/>
  <c r="M12" i="2"/>
  <c r="N12" i="2" s="1"/>
  <c r="O12" i="2" s="1"/>
  <c r="P12" i="2" s="1"/>
  <c r="M11" i="2"/>
  <c r="N11" i="2" s="1"/>
  <c r="O11" i="2" s="1"/>
  <c r="P11" i="2" s="1"/>
  <c r="M10" i="2"/>
  <c r="N10" i="2" s="1"/>
  <c r="O10" i="2" s="1"/>
  <c r="P10" i="2" s="1"/>
  <c r="M9" i="2"/>
  <c r="N9" i="2" s="1"/>
  <c r="O9" i="2" s="1"/>
  <c r="P9" i="2" s="1"/>
  <c r="M8" i="2"/>
  <c r="N8" i="2" s="1"/>
  <c r="O8" i="2" s="1"/>
  <c r="P8" i="2" s="1"/>
  <c r="M7" i="2"/>
  <c r="N7" i="2" s="1"/>
  <c r="O7" i="2" s="1"/>
  <c r="P7" i="2" s="1"/>
  <c r="K7" i="2"/>
  <c r="K8" i="2"/>
  <c r="K9" i="2"/>
  <c r="K10" i="2"/>
  <c r="K11" i="2"/>
  <c r="K12" i="2"/>
  <c r="L12" i="2" s="1"/>
  <c r="H16" i="2"/>
  <c r="I16" i="2" s="1"/>
  <c r="H9" i="5"/>
  <c r="I9" i="5" s="1"/>
  <c r="I7" i="5"/>
  <c r="I8" i="5"/>
  <c r="J22" i="3"/>
  <c r="J6" i="3"/>
  <c r="K15" i="3"/>
  <c r="L15" i="3" s="1"/>
  <c r="H15" i="3"/>
  <c r="I15" i="3" s="1"/>
  <c r="K14" i="3"/>
  <c r="L14" i="3" s="1"/>
  <c r="H14" i="3"/>
  <c r="I14" i="3" s="1"/>
  <c r="K13" i="3"/>
  <c r="L13" i="3" s="1"/>
  <c r="H13" i="3"/>
  <c r="I13" i="3" s="1"/>
  <c r="K12" i="3"/>
  <c r="L12" i="3" s="1"/>
  <c r="H12" i="3"/>
  <c r="I12" i="3" s="1"/>
  <c r="K11" i="3"/>
  <c r="L11" i="3" s="1"/>
  <c r="H11" i="3"/>
  <c r="I11" i="3" s="1"/>
  <c r="K10" i="3"/>
  <c r="L10" i="3" s="1"/>
  <c r="H10" i="3"/>
  <c r="I10" i="3" s="1"/>
  <c r="K9" i="3"/>
  <c r="L9" i="3" s="1"/>
  <c r="H9" i="3"/>
  <c r="I9" i="3" s="1"/>
  <c r="K8" i="3"/>
  <c r="L8" i="3" s="1"/>
  <c r="H8" i="3"/>
  <c r="I8" i="3" s="1"/>
  <c r="K7" i="3"/>
  <c r="L7" i="3" s="1"/>
  <c r="H7" i="3"/>
  <c r="I7" i="3" s="1"/>
  <c r="H15" i="2"/>
  <c r="I15" i="2" s="1"/>
  <c r="H14" i="2"/>
  <c r="I14" i="2" s="1"/>
  <c r="H13" i="2"/>
  <c r="I13" i="2" s="1"/>
  <c r="H12" i="2"/>
  <c r="I12" i="2" s="1"/>
  <c r="H11" i="2"/>
  <c r="I11" i="2" s="1"/>
  <c r="I10" i="2"/>
  <c r="H10" i="2"/>
  <c r="H9" i="2"/>
  <c r="I9" i="2" s="1"/>
  <c r="H8" i="2"/>
  <c r="I8" i="2" s="1"/>
  <c r="H7" i="2"/>
  <c r="I7" i="2" s="1"/>
  <c r="L7" i="2" l="1"/>
  <c r="K15" i="2"/>
  <c r="L15" i="2" s="1"/>
  <c r="K13" i="2"/>
  <c r="L13" i="2" s="1"/>
  <c r="L11" i="2"/>
  <c r="L10" i="2"/>
  <c r="L9" i="2"/>
  <c r="L8" i="2"/>
  <c r="K14" i="2"/>
  <c r="L14" i="2" s="1"/>
  <c r="K16" i="2"/>
  <c r="L16" i="2" s="1"/>
  <c r="K7" i="5"/>
  <c r="L7" i="5" s="1"/>
  <c r="K8" i="5"/>
  <c r="L8" i="5" s="1"/>
  <c r="J5" i="5"/>
  <c r="K9" i="5"/>
  <c r="L9" i="5" s="1"/>
</calcChain>
</file>

<file path=xl/sharedStrings.xml><?xml version="1.0" encoding="utf-8"?>
<sst xmlns="http://schemas.openxmlformats.org/spreadsheetml/2006/main" count="57" uniqueCount="8">
  <si>
    <t>dBu</t>
  </si>
  <si>
    <t>Vp</t>
  </si>
  <si>
    <t>proportion</t>
  </si>
  <si>
    <t>Vcc</t>
  </si>
  <si>
    <t>total</t>
  </si>
  <si>
    <t>TOTAL R (Ohms)</t>
  </si>
  <si>
    <t>Vrms</t>
  </si>
  <si>
    <t>Actual dBu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</si>
</sst>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D485-D581-4A2A-9BC3-40AF4B5972F3}">
  <dimension ref="E4:N24"/>
  <sheetViews>
    <sheetView workbookViewId="0">
      <selection activeCell="J16" sqref="J16"/>
    </sheetView>
  </sheetViews>
  <sheetFormatPr defaultRowHeight="14.4" x14ac:dyDescent="0.3"/>
  <cols>
    <col min="9" max="9" width="10.44140625" customWidth="1"/>
    <col min="10" max="10" width="15.6640625" customWidth="1"/>
  </cols>
  <sheetData>
    <row r="4" spans="7:14" x14ac:dyDescent="0.3">
      <c r="I4" t="s">
        <v>3</v>
      </c>
      <c r="J4" t="s">
        <v>5</v>
      </c>
    </row>
    <row r="5" spans="7:14" x14ac:dyDescent="0.3">
      <c r="I5">
        <v>11.7</v>
      </c>
      <c r="J5">
        <v>56000</v>
      </c>
    </row>
    <row r="6" spans="7:14" x14ac:dyDescent="0.3">
      <c r="G6" t="s">
        <v>0</v>
      </c>
      <c r="H6" t="s">
        <v>1</v>
      </c>
      <c r="I6" t="s">
        <v>2</v>
      </c>
      <c r="J6" s="3">
        <v>47000</v>
      </c>
      <c r="K6" s="1"/>
      <c r="L6" s="1" t="s">
        <v>1</v>
      </c>
      <c r="N6" t="s">
        <v>1</v>
      </c>
    </row>
    <row r="7" spans="7:14" x14ac:dyDescent="0.3">
      <c r="G7">
        <v>6</v>
      </c>
      <c r="H7" s="1">
        <f>4.371/2</f>
        <v>2.1855000000000002</v>
      </c>
      <c r="I7" s="1">
        <f t="shared" ref="I7:I14" si="0">H7/$I$5</f>
        <v>0.18679487179487184</v>
      </c>
      <c r="J7" s="4">
        <v>3300</v>
      </c>
      <c r="K7" s="1">
        <f>SUM(J7:J16)/J5</f>
        <v>0.1944642857142857</v>
      </c>
      <c r="L7" s="1">
        <f t="shared" ref="L7:L16" si="1">K7*$I$5</f>
        <v>2.2752321428571425</v>
      </c>
      <c r="M7" s="1">
        <f>SUM(J7:J16)/SUM(J6:J16)</f>
        <v>0.18811539125928486</v>
      </c>
      <c r="N7" s="1">
        <f>M7*$I$5</f>
        <v>2.2009500777336326</v>
      </c>
    </row>
    <row r="8" spans="7:14" x14ac:dyDescent="0.3">
      <c r="G8">
        <v>3</v>
      </c>
      <c r="H8" s="1">
        <f>3.095/2</f>
        <v>1.5475000000000001</v>
      </c>
      <c r="I8" s="1">
        <f t="shared" si="0"/>
        <v>0.13226495726495729</v>
      </c>
      <c r="J8" s="4">
        <v>2200</v>
      </c>
      <c r="K8" s="1">
        <f>SUM(J8:J16)/J5</f>
        <v>0.13553571428571429</v>
      </c>
      <c r="L8" s="1">
        <f t="shared" si="1"/>
        <v>1.5857678571428571</v>
      </c>
      <c r="M8" s="1">
        <f>SUM(J8:J16)/SUM(J6:J16)</f>
        <v>0.13111072724131975</v>
      </c>
      <c r="N8" s="1">
        <f t="shared" ref="N8:N16" si="2">M8*$I$5</f>
        <v>1.5339955087234409</v>
      </c>
    </row>
    <row r="9" spans="7:14" x14ac:dyDescent="0.3">
      <c r="G9">
        <v>0</v>
      </c>
      <c r="H9">
        <f>2.19/2</f>
        <v>1.095</v>
      </c>
      <c r="I9" s="1">
        <f t="shared" si="0"/>
        <v>9.358974358974359E-2</v>
      </c>
      <c r="J9" s="4">
        <v>1560</v>
      </c>
      <c r="K9" s="1">
        <f>SUM(J9:J16)/J5</f>
        <v>9.6250000000000002E-2</v>
      </c>
      <c r="L9" s="1">
        <f t="shared" si="1"/>
        <v>1.126125</v>
      </c>
      <c r="M9" s="1">
        <f>SUM(J9:J16)/SUM(J6:J16)</f>
        <v>9.3107617896009673E-2</v>
      </c>
      <c r="N9" s="1">
        <f t="shared" si="2"/>
        <v>1.0893591293833131</v>
      </c>
    </row>
    <row r="10" spans="7:14" x14ac:dyDescent="0.3">
      <c r="G10">
        <v>-3</v>
      </c>
      <c r="H10" s="1">
        <f>1.551/2</f>
        <v>0.77549999999999997</v>
      </c>
      <c r="I10" s="1">
        <f t="shared" si="0"/>
        <v>6.628205128205128E-2</v>
      </c>
      <c r="J10" s="4">
        <v>1100</v>
      </c>
      <c r="K10" s="1">
        <f>SUM(J10:J16)/J5</f>
        <v>6.8392857142857144E-2</v>
      </c>
      <c r="L10" s="1">
        <f t="shared" si="1"/>
        <v>0.80019642857142859</v>
      </c>
      <c r="M10" s="1">
        <f>SUM(J10:J16)/SUM(J6:J16)</f>
        <v>6.6159958542062539E-2</v>
      </c>
      <c r="N10" s="1">
        <f t="shared" si="2"/>
        <v>0.77407151494213167</v>
      </c>
    </row>
    <row r="11" spans="7:14" x14ac:dyDescent="0.3">
      <c r="G11">
        <v>-6</v>
      </c>
      <c r="H11">
        <f>1.098/2</f>
        <v>0.54900000000000004</v>
      </c>
      <c r="I11" s="1">
        <f t="shared" si="0"/>
        <v>4.6923076923076928E-2</v>
      </c>
      <c r="J11" s="4">
        <v>820</v>
      </c>
      <c r="K11" s="1">
        <f>SUM(J11:J16)/J5</f>
        <v>4.8750000000000002E-2</v>
      </c>
      <c r="L11" s="1">
        <f t="shared" si="1"/>
        <v>0.57037499999999997</v>
      </c>
      <c r="M11" s="1">
        <f>SUM(J11:J16)/SUM(J6:J16)</f>
        <v>4.7158403869407499E-2</v>
      </c>
      <c r="N11" s="1">
        <f t="shared" si="2"/>
        <v>0.55175332527206766</v>
      </c>
    </row>
    <row r="12" spans="7:14" x14ac:dyDescent="0.3">
      <c r="G12">
        <v>-9</v>
      </c>
      <c r="H12" s="1">
        <f>0.777/2</f>
        <v>0.38850000000000001</v>
      </c>
      <c r="I12" s="1">
        <f t="shared" si="0"/>
        <v>3.3205128205128207E-2</v>
      </c>
      <c r="J12" s="4">
        <v>560</v>
      </c>
      <c r="K12" s="1">
        <f>SUM(J12:J16)/J5</f>
        <v>3.4107142857142857E-2</v>
      </c>
      <c r="L12" s="1">
        <f t="shared" si="1"/>
        <v>0.3990535714285714</v>
      </c>
      <c r="M12" s="1">
        <f>SUM(J12:J16)/SUM(J6:J16)</f>
        <v>3.2993608567973745E-2</v>
      </c>
      <c r="N12" s="1">
        <f t="shared" si="2"/>
        <v>0.38602522024529279</v>
      </c>
    </row>
    <row r="13" spans="7:14" x14ac:dyDescent="0.3">
      <c r="G13">
        <v>-12</v>
      </c>
      <c r="H13">
        <f>0.55/2</f>
        <v>0.27500000000000002</v>
      </c>
      <c r="I13" s="1">
        <f t="shared" si="0"/>
        <v>2.3504273504273508E-2</v>
      </c>
      <c r="J13" s="4">
        <v>390</v>
      </c>
      <c r="K13" s="1">
        <f>SUM(J13:J16)/J5</f>
        <v>2.4107142857142858E-2</v>
      </c>
      <c r="L13" s="1">
        <f t="shared" si="1"/>
        <v>0.2820535714285714</v>
      </c>
      <c r="M13" s="1">
        <f>SUM(J13:J16)/SUM(J6:J16)</f>
        <v>2.332008982553118E-2</v>
      </c>
      <c r="N13" s="1">
        <f t="shared" si="2"/>
        <v>0.27284505095871481</v>
      </c>
    </row>
    <row r="14" spans="7:14" x14ac:dyDescent="0.3">
      <c r="G14">
        <v>-15</v>
      </c>
      <c r="H14">
        <f>0.39/2</f>
        <v>0.19500000000000001</v>
      </c>
      <c r="I14" s="1">
        <f t="shared" si="0"/>
        <v>1.666666666666667E-2</v>
      </c>
      <c r="J14" s="4">
        <v>270</v>
      </c>
      <c r="K14" s="1">
        <f>SUM(J14:J16)/J5</f>
        <v>1.7142857142857144E-2</v>
      </c>
      <c r="L14" s="1">
        <f t="shared" si="1"/>
        <v>0.20057142857142857</v>
      </c>
      <c r="M14" s="1">
        <f>SUM(J14:J16)/SUM(J6:J16)</f>
        <v>1.6583174987044393E-2</v>
      </c>
      <c r="N14" s="1">
        <f t="shared" si="2"/>
        <v>0.19402314734841938</v>
      </c>
    </row>
    <row r="15" spans="7:14" x14ac:dyDescent="0.3">
      <c r="G15">
        <v>-18</v>
      </c>
      <c r="H15">
        <f>0.276/2</f>
        <v>0.13800000000000001</v>
      </c>
      <c r="I15" s="1">
        <f>H15/$I$5</f>
        <v>1.1794871794871797E-2</v>
      </c>
      <c r="J15" s="4">
        <v>220</v>
      </c>
      <c r="K15" s="1">
        <f>SUM(J15:J16)/J5</f>
        <v>1.2321428571428572E-2</v>
      </c>
      <c r="L15" s="1">
        <f t="shared" si="1"/>
        <v>0.14416071428571428</v>
      </c>
      <c r="M15" s="1">
        <f>SUM(J15:J16)/SUM(J6:J16)</f>
        <v>1.1919157021938159E-2</v>
      </c>
      <c r="N15" s="1">
        <f t="shared" si="2"/>
        <v>0.13945413715667646</v>
      </c>
    </row>
    <row r="16" spans="7:14" x14ac:dyDescent="0.3">
      <c r="G16">
        <v>-21</v>
      </c>
      <c r="H16" s="1">
        <f>0.195/2</f>
        <v>9.7500000000000003E-2</v>
      </c>
      <c r="I16" s="1">
        <f>H16/$I$5</f>
        <v>8.333333333333335E-3</v>
      </c>
      <c r="J16" s="4">
        <v>470</v>
      </c>
      <c r="K16" s="1">
        <f t="shared" ref="K16" si="3">J16/$J$5</f>
        <v>8.3928571428571429E-3</v>
      </c>
      <c r="L16" s="1">
        <f t="shared" si="1"/>
        <v>9.819642857142856E-2</v>
      </c>
      <c r="M16" s="1">
        <f>SUM(J16)/SUM(J6:J16)</f>
        <v>8.1188460874071517E-3</v>
      </c>
      <c r="N16" s="1">
        <f t="shared" si="2"/>
        <v>9.4990499222663671E-2</v>
      </c>
    </row>
    <row r="24" spans="5:5" x14ac:dyDescent="0.3">
      <c r="E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02EB-515C-4A0B-BB92-62D83B04599D}">
  <dimension ref="E4:P24"/>
  <sheetViews>
    <sheetView workbookViewId="0">
      <selection activeCell="Q8" sqref="Q8"/>
    </sheetView>
  </sheetViews>
  <sheetFormatPr defaultRowHeight="14.4" x14ac:dyDescent="0.3"/>
  <cols>
    <col min="9" max="9" width="10.44140625" customWidth="1"/>
    <col min="10" max="10" width="15.6640625" customWidth="1"/>
  </cols>
  <sheetData>
    <row r="4" spans="7:16" x14ac:dyDescent="0.3">
      <c r="I4" t="s">
        <v>3</v>
      </c>
      <c r="J4" t="s">
        <v>5</v>
      </c>
    </row>
    <row r="5" spans="7:16" x14ac:dyDescent="0.3">
      <c r="I5">
        <v>11.7</v>
      </c>
      <c r="J5">
        <v>100000</v>
      </c>
    </row>
    <row r="6" spans="7:16" x14ac:dyDescent="0.3">
      <c r="G6" t="s">
        <v>0</v>
      </c>
      <c r="H6" t="s">
        <v>1</v>
      </c>
      <c r="I6" t="s">
        <v>2</v>
      </c>
      <c r="J6" s="3">
        <v>82000</v>
      </c>
      <c r="K6" s="1"/>
      <c r="L6" s="1" t="s">
        <v>1</v>
      </c>
      <c r="N6" t="s">
        <v>1</v>
      </c>
      <c r="O6" t="s">
        <v>6</v>
      </c>
      <c r="P6" t="s">
        <v>7</v>
      </c>
    </row>
    <row r="7" spans="7:16" x14ac:dyDescent="0.3">
      <c r="G7">
        <v>6</v>
      </c>
      <c r="H7" s="1">
        <f>4.371/2</f>
        <v>2.1855000000000002</v>
      </c>
      <c r="I7" s="1">
        <f t="shared" ref="I7:I14" si="0">H7/$I$5</f>
        <v>0.18679487179487184</v>
      </c>
      <c r="J7" s="4">
        <v>5600</v>
      </c>
      <c r="K7" s="1">
        <f>SUM(J7:J16)/J5</f>
        <v>0.18490000000000001</v>
      </c>
      <c r="L7" s="1">
        <f t="shared" ref="L7:L15" si="1">K7*$I$5</f>
        <v>2.1633299999999998</v>
      </c>
      <c r="M7" s="1">
        <f>SUM(J7:J16)/SUM(J6:J16)</f>
        <v>0.18399840780177132</v>
      </c>
      <c r="N7" s="1">
        <f>M7*$I$5</f>
        <v>2.1527813712807244</v>
      </c>
      <c r="O7" s="1">
        <f>N7/SQRT(2)</f>
        <v>1.5222463060446749</v>
      </c>
      <c r="P7">
        <f>20*LOG10(O7/0.7746)</f>
        <v>5.8681487239623698</v>
      </c>
    </row>
    <row r="8" spans="7:16" x14ac:dyDescent="0.3">
      <c r="G8">
        <v>3</v>
      </c>
      <c r="H8" s="1">
        <f>3.095/2</f>
        <v>1.5475000000000001</v>
      </c>
      <c r="I8" s="1">
        <f t="shared" si="0"/>
        <v>0.13226495726495729</v>
      </c>
      <c r="J8" s="4">
        <v>3900</v>
      </c>
      <c r="K8" s="1">
        <f>SUM(J8:J16)/J5</f>
        <v>0.12889999999999999</v>
      </c>
      <c r="L8" s="1">
        <f t="shared" si="1"/>
        <v>1.5081299999999997</v>
      </c>
      <c r="M8" s="1">
        <f>SUM(J8:J16)/SUM(J6:J16)</f>
        <v>0.12827146979798984</v>
      </c>
      <c r="N8" s="1">
        <f t="shared" ref="N8:N16" si="2">M8*$I$5</f>
        <v>1.500776196636481</v>
      </c>
      <c r="O8" s="1">
        <f t="shared" ref="O8:O16" si="3">N8/SQRT(2)</f>
        <v>1.0612090256850111</v>
      </c>
      <c r="P8">
        <f t="shared" ref="P8:P16" si="4">20*LOG10(O8/0.7746)</f>
        <v>2.7344688478469674</v>
      </c>
    </row>
    <row r="9" spans="7:16" x14ac:dyDescent="0.3">
      <c r="G9">
        <v>0</v>
      </c>
      <c r="H9">
        <f>2.19/2</f>
        <v>1.095</v>
      </c>
      <c r="I9" s="1">
        <f t="shared" si="0"/>
        <v>9.358974358974359E-2</v>
      </c>
      <c r="J9" s="4">
        <v>2700</v>
      </c>
      <c r="K9" s="1">
        <f>SUM(J9:J16)/J5</f>
        <v>8.9899999999999994E-2</v>
      </c>
      <c r="L9" s="1">
        <f t="shared" si="1"/>
        <v>1.0518299999999998</v>
      </c>
      <c r="M9" s="1">
        <f>SUM(J9:J16)/SUM(J6:J16)</f>
        <v>8.9461637973927755E-2</v>
      </c>
      <c r="N9" s="1">
        <f t="shared" si="2"/>
        <v>1.0467011642949546</v>
      </c>
      <c r="O9" s="1">
        <f t="shared" si="3"/>
        <v>0.74012949114881699</v>
      </c>
      <c r="P9">
        <f t="shared" si="4"/>
        <v>-0.39539566455651648</v>
      </c>
    </row>
    <row r="10" spans="7:16" x14ac:dyDescent="0.3">
      <c r="G10">
        <v>-3</v>
      </c>
      <c r="H10" s="1">
        <f>1.551/2</f>
        <v>0.77549999999999997</v>
      </c>
      <c r="I10" s="1">
        <f t="shared" si="0"/>
        <v>6.628205128205128E-2</v>
      </c>
      <c r="J10" s="4">
        <v>2000</v>
      </c>
      <c r="K10" s="1">
        <f>SUM(J10:J16)/J5</f>
        <v>6.2899999999999998E-2</v>
      </c>
      <c r="L10" s="1">
        <f t="shared" si="1"/>
        <v>0.73592999999999997</v>
      </c>
      <c r="M10" s="1">
        <f>SUM(J10:J16)/SUM(J6:J16)</f>
        <v>6.2593292864961694E-2</v>
      </c>
      <c r="N10" s="1">
        <f t="shared" si="2"/>
        <v>0.7323415265200518</v>
      </c>
      <c r="O10" s="1">
        <f t="shared" si="3"/>
        <v>0.51784365954683642</v>
      </c>
      <c r="P10">
        <f t="shared" si="4"/>
        <v>-3.4975765903157132</v>
      </c>
    </row>
    <row r="11" spans="7:16" x14ac:dyDescent="0.3">
      <c r="G11">
        <v>-6</v>
      </c>
      <c r="H11">
        <f>1.098/2</f>
        <v>0.54900000000000004</v>
      </c>
      <c r="I11" s="1">
        <f t="shared" si="0"/>
        <v>4.6923076923076928E-2</v>
      </c>
      <c r="J11" s="4">
        <v>1300</v>
      </c>
      <c r="K11" s="1">
        <f>SUM(J11:J16)/J5</f>
        <v>4.2900000000000001E-2</v>
      </c>
      <c r="L11" s="1">
        <f t="shared" si="1"/>
        <v>0.50192999999999999</v>
      </c>
      <c r="M11" s="1">
        <f>SUM(J11:J16)/SUM(J6:J16)</f>
        <v>4.2690815006468305E-2</v>
      </c>
      <c r="N11" s="1">
        <f t="shared" si="2"/>
        <v>0.49948253557567912</v>
      </c>
      <c r="O11" s="1">
        <f t="shared" si="3"/>
        <v>0.35318748798981364</v>
      </c>
      <c r="P11">
        <f t="shared" si="4"/>
        <v>-6.8214436555266067</v>
      </c>
    </row>
    <row r="12" spans="7:16" x14ac:dyDescent="0.3">
      <c r="G12">
        <v>-9</v>
      </c>
      <c r="H12" s="1">
        <f>0.777/2</f>
        <v>0.38850000000000001</v>
      </c>
      <c r="I12" s="1">
        <f t="shared" si="0"/>
        <v>3.3205128205128207E-2</v>
      </c>
      <c r="J12" s="4">
        <v>1000</v>
      </c>
      <c r="K12" s="1">
        <f>SUM(J12:J16)/J5</f>
        <v>2.9899999999999999E-2</v>
      </c>
      <c r="L12" s="1">
        <f t="shared" si="1"/>
        <v>0.34982999999999997</v>
      </c>
      <c r="M12" s="1">
        <f>SUM(J12:J16)/SUM(J6:J16)</f>
        <v>2.9754204398447608E-2</v>
      </c>
      <c r="N12" s="1">
        <f t="shared" si="2"/>
        <v>0.34812419146183698</v>
      </c>
      <c r="O12" s="1">
        <f t="shared" si="3"/>
        <v>0.24616097647774893</v>
      </c>
      <c r="P12">
        <f t="shared" si="4"/>
        <v>-9.9571657327324985</v>
      </c>
    </row>
    <row r="13" spans="7:16" x14ac:dyDescent="0.3">
      <c r="G13">
        <v>-12</v>
      </c>
      <c r="H13">
        <f>0.55/2</f>
        <v>0.27500000000000002</v>
      </c>
      <c r="I13" s="1">
        <f t="shared" si="0"/>
        <v>2.3504273504273508E-2</v>
      </c>
      <c r="J13" s="4">
        <v>680</v>
      </c>
      <c r="K13" s="1">
        <f>SUM(J13:J16)/J5</f>
        <v>1.9900000000000001E-2</v>
      </c>
      <c r="L13" s="1">
        <f t="shared" si="1"/>
        <v>0.23283000000000001</v>
      </c>
      <c r="M13" s="1">
        <f>SUM(J13:J16)/SUM(J6:J16)</f>
        <v>1.9802965469200916E-2</v>
      </c>
      <c r="N13" s="1">
        <f t="shared" si="2"/>
        <v>0.2316946959896507</v>
      </c>
      <c r="O13" s="1">
        <f t="shared" si="3"/>
        <v>0.16383289069923757</v>
      </c>
      <c r="P13">
        <f t="shared" si="4"/>
        <v>-13.49352797102696</v>
      </c>
    </row>
    <row r="14" spans="7:16" x14ac:dyDescent="0.3">
      <c r="G14">
        <v>-15</v>
      </c>
      <c r="H14">
        <f>0.39/2</f>
        <v>0.19500000000000001</v>
      </c>
      <c r="I14" s="1">
        <f t="shared" si="0"/>
        <v>1.666666666666667E-2</v>
      </c>
      <c r="J14" s="4">
        <v>510</v>
      </c>
      <c r="K14" s="1">
        <f>SUM(J14:J16)/J5</f>
        <v>1.3100000000000001E-2</v>
      </c>
      <c r="L14" s="1">
        <f t="shared" si="1"/>
        <v>0.15326999999999999</v>
      </c>
      <c r="M14" s="1">
        <f>SUM(J14:J16)/SUM(J6:J16)</f>
        <v>1.3036122997313165E-2</v>
      </c>
      <c r="N14" s="1">
        <f t="shared" si="2"/>
        <v>0.15252263906856403</v>
      </c>
      <c r="O14" s="1">
        <f t="shared" si="3"/>
        <v>0.10784979236984986</v>
      </c>
      <c r="P14">
        <f t="shared" si="4"/>
        <v>-17.125163586105806</v>
      </c>
    </row>
    <row r="15" spans="7:16" x14ac:dyDescent="0.3">
      <c r="G15">
        <v>-18</v>
      </c>
      <c r="H15">
        <f>0.276/2</f>
        <v>0.13800000000000001</v>
      </c>
      <c r="I15" s="1">
        <f>H15/$I$5</f>
        <v>1.1794871794871797E-2</v>
      </c>
      <c r="J15" s="4">
        <v>330</v>
      </c>
      <c r="K15" s="1">
        <f>SUM(J15:J16)/J6</f>
        <v>9.7560975609756097E-3</v>
      </c>
      <c r="L15" s="1">
        <f t="shared" si="1"/>
        <v>0.11414634146341462</v>
      </c>
      <c r="M15" s="1">
        <f>SUM(J15:J16)/SUM(J6:J16)</f>
        <v>7.9609911433973536E-3</v>
      </c>
      <c r="N15" s="1">
        <f t="shared" si="2"/>
        <v>9.3143596377749036E-2</v>
      </c>
      <c r="O15" s="1">
        <f t="shared" si="3"/>
        <v>6.5862468622809089E-2</v>
      </c>
      <c r="P15">
        <f t="shared" si="4"/>
        <v>-21.408789759382216</v>
      </c>
    </row>
    <row r="16" spans="7:16" x14ac:dyDescent="0.3">
      <c r="G16">
        <v>-21</v>
      </c>
      <c r="H16" s="1">
        <f>0.195/2</f>
        <v>9.7500000000000003E-2</v>
      </c>
      <c r="I16" s="1">
        <f>H16/$I$5</f>
        <v>8.333333333333335E-3</v>
      </c>
      <c r="J16" s="4">
        <v>470</v>
      </c>
      <c r="K16" s="1">
        <f t="shared" ref="K16" si="5">J16/$J$5</f>
        <v>4.7000000000000002E-3</v>
      </c>
      <c r="L16" s="1">
        <f t="shared" ref="L16" si="6">K16*$I$5</f>
        <v>5.4989999999999997E-2</v>
      </c>
      <c r="M16" s="1">
        <f>SUM(J16)/SUM(J6:J16)</f>
        <v>4.6770822967459446E-3</v>
      </c>
      <c r="N16" s="1">
        <f t="shared" si="2"/>
        <v>5.4721862871927547E-2</v>
      </c>
      <c r="O16" s="1">
        <f t="shared" si="3"/>
        <v>3.8694200315900332E-2</v>
      </c>
      <c r="P16">
        <f t="shared" si="4"/>
        <v>-26.028632340506746</v>
      </c>
    </row>
    <row r="24" spans="5:5" x14ac:dyDescent="0.3">
      <c r="E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8745-C031-44EB-8DE0-C90EAC00962D}">
  <dimension ref="G4:L22"/>
  <sheetViews>
    <sheetView workbookViewId="0">
      <selection activeCell="N21" sqref="N21"/>
    </sheetView>
  </sheetViews>
  <sheetFormatPr defaultRowHeight="14.4" x14ac:dyDescent="0.3"/>
  <cols>
    <col min="9" max="9" width="10.44140625" customWidth="1"/>
    <col min="10" max="10" width="15.6640625" customWidth="1"/>
  </cols>
  <sheetData>
    <row r="4" spans="7:12" x14ac:dyDescent="0.3">
      <c r="I4" t="s">
        <v>3</v>
      </c>
      <c r="J4" t="s">
        <v>5</v>
      </c>
    </row>
    <row r="5" spans="7:12" x14ac:dyDescent="0.3">
      <c r="I5">
        <v>10</v>
      </c>
      <c r="J5">
        <v>100000</v>
      </c>
    </row>
    <row r="6" spans="7:12" x14ac:dyDescent="0.3">
      <c r="G6" t="s">
        <v>0</v>
      </c>
      <c r="H6" t="s">
        <v>1</v>
      </c>
      <c r="I6" t="s">
        <v>2</v>
      </c>
      <c r="J6" s="3">
        <f>J5-SUM(J7:J15)</f>
        <v>78063</v>
      </c>
      <c r="K6" s="1"/>
      <c r="L6" s="1" t="s">
        <v>1</v>
      </c>
    </row>
    <row r="7" spans="7:12" x14ac:dyDescent="0.3">
      <c r="G7">
        <v>6</v>
      </c>
      <c r="H7" s="1">
        <f>4.371/2</f>
        <v>2.1855000000000002</v>
      </c>
      <c r="I7" s="1">
        <f t="shared" ref="I7:I14" si="0">H7/$I$5</f>
        <v>0.21855000000000002</v>
      </c>
      <c r="J7" s="2">
        <v>6490</v>
      </c>
      <c r="K7" s="1">
        <f>SUM(J7:J15)/J5</f>
        <v>0.21937000000000001</v>
      </c>
      <c r="L7" s="1">
        <f t="shared" ref="L7:L15" si="1">K7*$I$5</f>
        <v>2.1937000000000002</v>
      </c>
    </row>
    <row r="8" spans="7:12" x14ac:dyDescent="0.3">
      <c r="G8">
        <v>3</v>
      </c>
      <c r="H8" s="1">
        <f>3.095/2</f>
        <v>1.5475000000000001</v>
      </c>
      <c r="I8" s="1">
        <f t="shared" si="0"/>
        <v>0.15475</v>
      </c>
      <c r="J8" s="2">
        <v>4530</v>
      </c>
      <c r="K8" s="1">
        <f>SUM(J8:J15)/J5</f>
        <v>0.15447</v>
      </c>
      <c r="L8" s="1">
        <f t="shared" si="1"/>
        <v>1.5447</v>
      </c>
    </row>
    <row r="9" spans="7:12" x14ac:dyDescent="0.3">
      <c r="G9">
        <v>0</v>
      </c>
      <c r="H9">
        <f>2.19/2</f>
        <v>1.095</v>
      </c>
      <c r="I9" s="1">
        <f t="shared" si="0"/>
        <v>0.1095</v>
      </c>
      <c r="J9" s="2">
        <v>3160</v>
      </c>
      <c r="K9" s="1">
        <f>SUM(J9:J15)/J5</f>
        <v>0.10917</v>
      </c>
      <c r="L9" s="1">
        <f t="shared" si="1"/>
        <v>1.0917000000000001</v>
      </c>
    </row>
    <row r="10" spans="7:12" x14ac:dyDescent="0.3">
      <c r="G10">
        <v>-3</v>
      </c>
      <c r="H10" s="1">
        <f>1.551/2</f>
        <v>0.77549999999999997</v>
      </c>
      <c r="I10" s="1">
        <f t="shared" si="0"/>
        <v>7.7549999999999994E-2</v>
      </c>
      <c r="J10" s="2">
        <v>2260</v>
      </c>
      <c r="K10" s="1">
        <f>SUM(J10:J15)/J5</f>
        <v>7.757E-2</v>
      </c>
      <c r="L10" s="1">
        <f t="shared" si="1"/>
        <v>0.77570000000000006</v>
      </c>
    </row>
    <row r="11" spans="7:12" x14ac:dyDescent="0.3">
      <c r="G11">
        <v>-6</v>
      </c>
      <c r="H11">
        <f>1.098/2</f>
        <v>0.54900000000000004</v>
      </c>
      <c r="I11" s="1">
        <f t="shared" si="0"/>
        <v>5.4900000000000004E-2</v>
      </c>
      <c r="J11" s="2">
        <v>1620</v>
      </c>
      <c r="K11" s="1">
        <f>SUM(J11:J15)/J5</f>
        <v>5.4969999999999998E-2</v>
      </c>
      <c r="L11" s="1">
        <f t="shared" si="1"/>
        <v>0.54969999999999997</v>
      </c>
    </row>
    <row r="12" spans="7:12" x14ac:dyDescent="0.3">
      <c r="G12">
        <v>-9</v>
      </c>
      <c r="H12" s="1">
        <f>0.777/2</f>
        <v>0.38850000000000001</v>
      </c>
      <c r="I12" s="1">
        <f t="shared" si="0"/>
        <v>3.8850000000000003E-2</v>
      </c>
      <c r="J12" s="2">
        <v>1130</v>
      </c>
      <c r="K12" s="1">
        <f>SUM(J12:J15)/J5</f>
        <v>3.8769999999999999E-2</v>
      </c>
      <c r="L12" s="1">
        <f t="shared" si="1"/>
        <v>0.38769999999999999</v>
      </c>
    </row>
    <row r="13" spans="7:12" x14ac:dyDescent="0.3">
      <c r="G13">
        <v>-12</v>
      </c>
      <c r="H13">
        <f>0.55/2</f>
        <v>0.27500000000000002</v>
      </c>
      <c r="I13" s="1">
        <f t="shared" si="0"/>
        <v>2.7500000000000004E-2</v>
      </c>
      <c r="J13" s="2">
        <v>787</v>
      </c>
      <c r="K13" s="1">
        <f>SUM(J13:J15)/J5</f>
        <v>2.7470000000000001E-2</v>
      </c>
      <c r="L13" s="1">
        <f t="shared" si="1"/>
        <v>0.2747</v>
      </c>
    </row>
    <row r="14" spans="7:12" x14ac:dyDescent="0.3">
      <c r="G14">
        <v>-18</v>
      </c>
      <c r="H14">
        <f>0.39/2</f>
        <v>0.19500000000000001</v>
      </c>
      <c r="I14" s="1">
        <f t="shared" si="0"/>
        <v>1.95E-2</v>
      </c>
      <c r="J14" s="2">
        <v>560</v>
      </c>
      <c r="K14" s="1">
        <f>SUM(J14:J15)/J5</f>
        <v>1.9599999999999999E-2</v>
      </c>
      <c r="L14" s="1">
        <f t="shared" si="1"/>
        <v>0.19600000000000001</v>
      </c>
    </row>
    <row r="15" spans="7:12" x14ac:dyDescent="0.3">
      <c r="G15">
        <v>-21</v>
      </c>
      <c r="H15">
        <f>0.276/2</f>
        <v>0.13800000000000001</v>
      </c>
      <c r="I15" s="1">
        <f>H15/$I$5</f>
        <v>1.3800000000000002E-2</v>
      </c>
      <c r="J15" s="2">
        <v>1400</v>
      </c>
      <c r="K15" s="1">
        <f t="shared" ref="K15" si="2">J15/$J$5</f>
        <v>1.4E-2</v>
      </c>
      <c r="L15" s="1">
        <f t="shared" si="1"/>
        <v>0.14000000000000001</v>
      </c>
    </row>
    <row r="16" spans="7:12" x14ac:dyDescent="0.3">
      <c r="I16" t="s">
        <v>4</v>
      </c>
    </row>
    <row r="20" spans="10:10" x14ac:dyDescent="0.3">
      <c r="J20">
        <v>76800</v>
      </c>
    </row>
    <row r="21" spans="10:10" x14ac:dyDescent="0.3">
      <c r="J21">
        <v>1270</v>
      </c>
    </row>
    <row r="22" spans="10:10" x14ac:dyDescent="0.3">
      <c r="J22">
        <f>J21+J20</f>
        <v>78070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1236-186E-4F8D-ACF7-7671CAF785F5}">
  <dimension ref="G4:L10"/>
  <sheetViews>
    <sheetView workbookViewId="0">
      <selection activeCell="I6" sqref="I6"/>
    </sheetView>
  </sheetViews>
  <sheetFormatPr defaultRowHeight="14.4" x14ac:dyDescent="0.3"/>
  <cols>
    <col min="9" max="9" width="10.44140625" customWidth="1"/>
    <col min="10" max="10" width="15.6640625" customWidth="1"/>
  </cols>
  <sheetData>
    <row r="4" spans="7:12" x14ac:dyDescent="0.3">
      <c r="I4" t="s">
        <v>3</v>
      </c>
      <c r="J4" t="s">
        <v>5</v>
      </c>
    </row>
    <row r="5" spans="7:12" x14ac:dyDescent="0.3">
      <c r="I5">
        <v>11.75</v>
      </c>
      <c r="J5">
        <f>SUM(J6:J9)</f>
        <v>104500</v>
      </c>
    </row>
    <row r="6" spans="7:12" x14ac:dyDescent="0.3">
      <c r="G6" t="s">
        <v>0</v>
      </c>
      <c r="H6" t="s">
        <v>1</v>
      </c>
      <c r="I6" t="s">
        <v>2</v>
      </c>
      <c r="J6" s="3">
        <v>56000</v>
      </c>
      <c r="K6" s="1"/>
      <c r="L6" s="1" t="s">
        <v>1</v>
      </c>
    </row>
    <row r="7" spans="7:12" x14ac:dyDescent="0.3">
      <c r="G7">
        <v>14</v>
      </c>
      <c r="H7" s="1">
        <v>5.5</v>
      </c>
      <c r="I7" s="1">
        <f t="shared" ref="I7:I9" si="0">H7/$I$5</f>
        <v>0.46808510638297873</v>
      </c>
      <c r="J7" s="2">
        <v>8200</v>
      </c>
      <c r="K7" s="1">
        <f>SUM(J7:J9)/SUM(J6:J9)</f>
        <v>0.46411483253588515</v>
      </c>
      <c r="L7" s="1">
        <f t="shared" ref="L7:L9" si="1">K7*$I$5</f>
        <v>5.4533492822966503</v>
      </c>
    </row>
    <row r="8" spans="7:12" x14ac:dyDescent="0.3">
      <c r="G8">
        <v>12</v>
      </c>
      <c r="H8" s="1">
        <v>4.5</v>
      </c>
      <c r="I8" s="1">
        <f t="shared" si="0"/>
        <v>0.38297872340425532</v>
      </c>
      <c r="J8" s="2">
        <v>39000</v>
      </c>
      <c r="K8" s="1">
        <f>SUM(J8:J9)/SUM(J6:J9)</f>
        <v>0.38564593301435407</v>
      </c>
      <c r="L8" s="1">
        <f t="shared" si="1"/>
        <v>4.5313397129186601</v>
      </c>
    </row>
    <row r="9" spans="7:12" x14ac:dyDescent="0.3">
      <c r="G9">
        <v>-17</v>
      </c>
      <c r="H9" s="1">
        <f>0.15</f>
        <v>0.15</v>
      </c>
      <c r="I9" s="1">
        <f t="shared" si="0"/>
        <v>1.276595744680851E-2</v>
      </c>
      <c r="J9" s="2">
        <v>1300</v>
      </c>
      <c r="K9" s="1">
        <f>SUM(J9:J9)/SUM(J6:J9)</f>
        <v>1.2440191387559809E-2</v>
      </c>
      <c r="L9" s="1">
        <f t="shared" si="1"/>
        <v>0.14617224880382776</v>
      </c>
    </row>
    <row r="10" spans="7:12" x14ac:dyDescent="0.3">
      <c r="I10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0610-6C73-49A0-8AD5-4029EC3BB905}">
  <dimension ref="E4:P24"/>
  <sheetViews>
    <sheetView tabSelected="1" workbookViewId="0">
      <selection activeCell="I6" sqref="I6"/>
    </sheetView>
  </sheetViews>
  <sheetFormatPr defaultRowHeight="14.4" x14ac:dyDescent="0.3"/>
  <cols>
    <col min="9" max="9" width="10.44140625" customWidth="1"/>
    <col min="10" max="10" width="15.6640625" customWidth="1"/>
    <col min="16" max="16" width="9.44140625" bestFit="1" customWidth="1"/>
  </cols>
  <sheetData>
    <row r="4" spans="7:16" x14ac:dyDescent="0.3">
      <c r="I4" t="s">
        <v>3</v>
      </c>
      <c r="J4" t="s">
        <v>5</v>
      </c>
    </row>
    <row r="5" spans="7:16" x14ac:dyDescent="0.3">
      <c r="I5">
        <v>11.67</v>
      </c>
      <c r="J5">
        <v>100000</v>
      </c>
    </row>
    <row r="6" spans="7:16" x14ac:dyDescent="0.3">
      <c r="G6" t="s">
        <v>0</v>
      </c>
      <c r="H6" t="s">
        <v>1</v>
      </c>
      <c r="I6" t="s">
        <v>2</v>
      </c>
      <c r="J6" s="3">
        <v>82000</v>
      </c>
      <c r="K6" s="1"/>
      <c r="L6" s="1" t="s">
        <v>1</v>
      </c>
      <c r="N6" t="s">
        <v>1</v>
      </c>
      <c r="O6" t="s">
        <v>6</v>
      </c>
      <c r="P6" t="s">
        <v>7</v>
      </c>
    </row>
    <row r="7" spans="7:16" x14ac:dyDescent="0.3">
      <c r="G7">
        <v>6</v>
      </c>
      <c r="H7" s="1">
        <f>4.371/2</f>
        <v>2.1855000000000002</v>
      </c>
      <c r="I7" s="1">
        <f t="shared" ref="I7:I14" si="0">H7/$I$5</f>
        <v>0.18727506426735221</v>
      </c>
      <c r="J7" s="4">
        <v>5600</v>
      </c>
      <c r="K7" s="1">
        <f>SUM(J7:J16)/J5</f>
        <v>0.18970000000000001</v>
      </c>
      <c r="L7" s="1">
        <f t="shared" ref="L7:L16" si="1">K7*$I$5</f>
        <v>2.2137990000000003</v>
      </c>
      <c r="M7" s="1">
        <f>SUM(J7:J16)/SUM(J6:J16)</f>
        <v>0.18787758740219868</v>
      </c>
      <c r="N7" s="1">
        <f>M7*$I$5</f>
        <v>2.1925314449836586</v>
      </c>
      <c r="O7" s="1">
        <f>N7/SQRT(2)</f>
        <v>1.5503538527126846</v>
      </c>
      <c r="P7" s="1">
        <f>20*LOG10(O7/0.7746)</f>
        <v>6.0270668038452779</v>
      </c>
    </row>
    <row r="8" spans="7:16" x14ac:dyDescent="0.3">
      <c r="G8">
        <v>3</v>
      </c>
      <c r="H8" s="1">
        <f>3.095/2</f>
        <v>1.5475000000000001</v>
      </c>
      <c r="I8" s="1">
        <f t="shared" si="0"/>
        <v>0.132604970008569</v>
      </c>
      <c r="J8" s="4">
        <v>3900</v>
      </c>
      <c r="K8" s="1">
        <f>SUM(J8:J16)/J5</f>
        <v>0.13370000000000001</v>
      </c>
      <c r="L8" s="1">
        <f t="shared" si="1"/>
        <v>1.5602790000000002</v>
      </c>
      <c r="M8" s="1">
        <f>SUM(J8:J16)/SUM(J6:J16)</f>
        <v>0.13241556898088541</v>
      </c>
      <c r="N8" s="1">
        <f t="shared" ref="N8:N16" si="2">M8*$I$5</f>
        <v>1.5452896900069328</v>
      </c>
      <c r="O8" s="1">
        <f t="shared" ref="O8:O16" si="3">N8/SQRT(2)</f>
        <v>1.0926848187015601</v>
      </c>
      <c r="P8" s="1">
        <f t="shared" ref="P8:P16" si="4">20*LOG10(O8/0.7746)</f>
        <v>2.9883483313117152</v>
      </c>
    </row>
    <row r="9" spans="7:16" x14ac:dyDescent="0.3">
      <c r="G9">
        <v>0</v>
      </c>
      <c r="H9">
        <f>2.19/2</f>
        <v>1.095</v>
      </c>
      <c r="I9" s="1">
        <f t="shared" si="0"/>
        <v>9.383033419023136E-2</v>
      </c>
      <c r="J9" s="4">
        <v>2700</v>
      </c>
      <c r="K9" s="1">
        <f>SUM(J9:J16)/J5</f>
        <v>9.4700000000000006E-2</v>
      </c>
      <c r="L9" s="1">
        <f t="shared" si="1"/>
        <v>1.1051490000000002</v>
      </c>
      <c r="M9" s="1">
        <f>SUM(J9:J16)/SUM(J6:J16)</f>
        <v>9.3790234723185109E-2</v>
      </c>
      <c r="N9" s="1">
        <f t="shared" si="2"/>
        <v>1.0945320392195703</v>
      </c>
      <c r="O9" s="1">
        <f t="shared" si="3"/>
        <v>0.77395102715809827</v>
      </c>
      <c r="P9" s="1">
        <f t="shared" si="4"/>
        <v>-7.2802338625028301E-3</v>
      </c>
    </row>
    <row r="10" spans="7:16" x14ac:dyDescent="0.3">
      <c r="G10">
        <v>-3</v>
      </c>
      <c r="H10" s="1">
        <f>1.551/2</f>
        <v>0.77549999999999997</v>
      </c>
      <c r="I10" s="1">
        <f t="shared" si="0"/>
        <v>6.6452442159383035E-2</v>
      </c>
      <c r="J10" s="4">
        <v>2000</v>
      </c>
      <c r="K10" s="1">
        <f>SUM(J10:J16)/J5</f>
        <v>6.7699999999999996E-2</v>
      </c>
      <c r="L10" s="1">
        <f t="shared" si="1"/>
        <v>0.79005899999999996</v>
      </c>
      <c r="M10" s="1">
        <f>SUM(J10:J16)/SUM(J6:J16)</f>
        <v>6.7049618698623359E-2</v>
      </c>
      <c r="N10" s="1">
        <f t="shared" si="2"/>
        <v>0.78246905021293456</v>
      </c>
      <c r="O10" s="1">
        <f t="shared" si="3"/>
        <v>0.55328917147416312</v>
      </c>
      <c r="P10" s="1">
        <f t="shared" si="4"/>
        <v>-2.9225064402250855</v>
      </c>
    </row>
    <row r="11" spans="7:16" x14ac:dyDescent="0.3">
      <c r="G11">
        <v>-6</v>
      </c>
      <c r="H11">
        <f>1.098/2</f>
        <v>0.54900000000000004</v>
      </c>
      <c r="I11" s="1">
        <f t="shared" si="0"/>
        <v>4.7043701799485867E-2</v>
      </c>
      <c r="J11" s="4">
        <v>1390</v>
      </c>
      <c r="K11" s="1">
        <f>SUM(J11:J16)/J5</f>
        <v>4.7699999999999999E-2</v>
      </c>
      <c r="L11" s="1">
        <f t="shared" si="1"/>
        <v>0.55665900000000001</v>
      </c>
      <c r="M11" s="1">
        <f>SUM(J11:J16)/SUM(J6:J16)</f>
        <v>4.724175497672576E-2</v>
      </c>
      <c r="N11" s="1">
        <f t="shared" si="2"/>
        <v>0.55131128057838963</v>
      </c>
      <c r="O11" s="1">
        <f t="shared" si="3"/>
        <v>0.38983594504161861</v>
      </c>
      <c r="P11" s="1">
        <f t="shared" si="4"/>
        <v>-5.9639122331256935</v>
      </c>
    </row>
    <row r="12" spans="7:16" x14ac:dyDescent="0.3">
      <c r="G12">
        <v>-9</v>
      </c>
      <c r="H12" s="1">
        <f>0.777/2</f>
        <v>0.38850000000000001</v>
      </c>
      <c r="I12" s="1">
        <f t="shared" si="0"/>
        <v>3.3290488431876611E-2</v>
      </c>
      <c r="J12" s="4">
        <v>1000</v>
      </c>
      <c r="K12" s="1">
        <f>SUM(J12:J16)/J5</f>
        <v>3.3799999999999997E-2</v>
      </c>
      <c r="L12" s="1">
        <f t="shared" si="1"/>
        <v>0.39444599999999996</v>
      </c>
      <c r="M12" s="1">
        <f>SUM(J12:J16)/SUM(J6:J16)</f>
        <v>3.3475289690006932E-2</v>
      </c>
      <c r="N12" s="1">
        <f t="shared" si="2"/>
        <v>0.39065663068238088</v>
      </c>
      <c r="O12" s="1">
        <f t="shared" si="3"/>
        <v>0.27623595267100021</v>
      </c>
      <c r="P12" s="1">
        <f t="shared" si="4"/>
        <v>-8.955945808374878</v>
      </c>
    </row>
    <row r="13" spans="7:16" x14ac:dyDescent="0.3">
      <c r="G13">
        <v>-12</v>
      </c>
      <c r="H13">
        <f>0.55/2</f>
        <v>0.27500000000000002</v>
      </c>
      <c r="I13" s="1">
        <f t="shared" si="0"/>
        <v>2.3564695801199659E-2</v>
      </c>
      <c r="J13" s="4">
        <v>1220</v>
      </c>
      <c r="K13" s="1">
        <f>SUM(J13:J16)/J5</f>
        <v>2.3800000000000002E-2</v>
      </c>
      <c r="L13" s="1">
        <f t="shared" si="1"/>
        <v>0.27774599999999999</v>
      </c>
      <c r="M13" s="1">
        <f>SUM(J13:J16)/SUM(J6:J16)</f>
        <v>2.3571357829058136E-2</v>
      </c>
      <c r="N13" s="1">
        <f t="shared" si="2"/>
        <v>0.27507774586510847</v>
      </c>
      <c r="O13" s="1">
        <f t="shared" si="3"/>
        <v>0.19450933945472798</v>
      </c>
      <c r="P13" s="1">
        <f t="shared" si="4"/>
        <v>-12.002740672797731</v>
      </c>
    </row>
    <row r="14" spans="7:16" x14ac:dyDescent="0.3">
      <c r="G14">
        <v>-15</v>
      </c>
      <c r="H14">
        <f>0.39/2</f>
        <v>0.19500000000000001</v>
      </c>
      <c r="I14" s="1">
        <f t="shared" si="0"/>
        <v>1.6709511568123395E-2</v>
      </c>
      <c r="J14" s="4">
        <v>560</v>
      </c>
      <c r="K14" s="1">
        <f>SUM(J14:J16)/J5</f>
        <v>1.1599999999999999E-2</v>
      </c>
      <c r="L14" s="1">
        <f t="shared" si="1"/>
        <v>0.13537199999999999</v>
      </c>
      <c r="M14" s="1">
        <f>SUM(J14:J16)/SUM(J6:J16)</f>
        <v>1.1488560958700603E-2</v>
      </c>
      <c r="N14" s="1">
        <f t="shared" si="2"/>
        <v>0.13407150638803603</v>
      </c>
      <c r="O14" s="1">
        <f t="shared" si="3"/>
        <v>9.4802871330875796E-2</v>
      </c>
      <c r="P14" s="1">
        <f t="shared" si="4"/>
        <v>-18.245120029389604</v>
      </c>
    </row>
    <row r="15" spans="7:16" x14ac:dyDescent="0.3">
      <c r="G15">
        <v>-18</v>
      </c>
      <c r="H15">
        <f>0.276/2</f>
        <v>0.13800000000000001</v>
      </c>
      <c r="I15" s="1">
        <f>H15/$I$5</f>
        <v>1.1825192802056557E-2</v>
      </c>
      <c r="J15" s="4">
        <v>330</v>
      </c>
      <c r="K15" s="1">
        <f>SUM(J15:J16)/J6</f>
        <v>7.3170731707317077E-3</v>
      </c>
      <c r="L15" s="1">
        <f t="shared" si="1"/>
        <v>8.5390243902439031E-2</v>
      </c>
      <c r="M15" s="1">
        <f>SUM(J15:J16)/SUM(J6:J16)</f>
        <v>5.942359116569278E-3</v>
      </c>
      <c r="N15" s="1">
        <f t="shared" si="2"/>
        <v>6.9347330890363476E-2</v>
      </c>
      <c r="O15" s="1">
        <f t="shared" si="3"/>
        <v>4.9035967929763349E-2</v>
      </c>
      <c r="P15" s="1">
        <f t="shared" si="4"/>
        <v>-23.9712548062551</v>
      </c>
    </row>
    <row r="16" spans="7:16" x14ac:dyDescent="0.3">
      <c r="G16">
        <v>-21</v>
      </c>
      <c r="H16" s="1">
        <f>0.195/2</f>
        <v>9.7500000000000003E-2</v>
      </c>
      <c r="I16" s="1">
        <f>H16/$I$5</f>
        <v>8.3547557840616977E-3</v>
      </c>
      <c r="J16" s="4">
        <v>270</v>
      </c>
      <c r="K16" s="1">
        <f t="shared" ref="K16" si="5">J16/$J$5</f>
        <v>2.7000000000000001E-3</v>
      </c>
      <c r="L16" s="1">
        <f t="shared" si="1"/>
        <v>3.1509000000000002E-2</v>
      </c>
      <c r="M16" s="1">
        <f>SUM(J16)/SUM(J6:J16)</f>
        <v>2.6740616024561749E-3</v>
      </c>
      <c r="N16" s="1">
        <f t="shared" si="2"/>
        <v>3.1206298900663561E-2</v>
      </c>
      <c r="O16" s="1">
        <f t="shared" si="3"/>
        <v>2.2066185568393504E-2</v>
      </c>
      <c r="P16" s="1">
        <f t="shared" si="4"/>
        <v>-30.907004530748225</v>
      </c>
    </row>
    <row r="24" spans="5:5" x14ac:dyDescent="0.3">
      <c r="E2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9D39-9CEC-4B02-9287-72FBA31A5E5E}">
  <dimension ref="E4:P24"/>
  <sheetViews>
    <sheetView workbookViewId="0">
      <selection activeCell="M20" sqref="M20"/>
    </sheetView>
  </sheetViews>
  <sheetFormatPr defaultRowHeight="14.4" x14ac:dyDescent="0.3"/>
  <cols>
    <col min="9" max="9" width="10.44140625" customWidth="1"/>
    <col min="10" max="10" width="15.6640625" customWidth="1"/>
    <col min="16" max="16" width="9.44140625" bestFit="1" customWidth="1"/>
  </cols>
  <sheetData>
    <row r="4" spans="7:16" x14ac:dyDescent="0.3">
      <c r="I4" t="s">
        <v>3</v>
      </c>
      <c r="J4" t="s">
        <v>5</v>
      </c>
    </row>
    <row r="5" spans="7:16" x14ac:dyDescent="0.3">
      <c r="I5">
        <v>10</v>
      </c>
      <c r="J5">
        <v>100000</v>
      </c>
    </row>
    <row r="6" spans="7:16" x14ac:dyDescent="0.3">
      <c r="G6" t="s">
        <v>0</v>
      </c>
      <c r="H6" t="s">
        <v>1</v>
      </c>
      <c r="I6" t="s">
        <v>2</v>
      </c>
      <c r="J6" s="3">
        <v>82000</v>
      </c>
      <c r="K6" s="1"/>
      <c r="L6" s="1" t="s">
        <v>1</v>
      </c>
      <c r="N6" t="s">
        <v>1</v>
      </c>
      <c r="O6" t="s">
        <v>6</v>
      </c>
      <c r="P6" t="s">
        <v>7</v>
      </c>
    </row>
    <row r="7" spans="7:16" x14ac:dyDescent="0.3">
      <c r="G7">
        <v>6</v>
      </c>
      <c r="H7" s="1">
        <f>4.371/2</f>
        <v>2.1855000000000002</v>
      </c>
      <c r="I7" s="1">
        <f t="shared" ref="I7:I14" si="0">H7/$I$5</f>
        <v>0.21855000000000002</v>
      </c>
      <c r="J7" s="4">
        <v>6800</v>
      </c>
      <c r="K7" s="1">
        <f>SUM(J7:J16)/J5</f>
        <v>0.2296</v>
      </c>
      <c r="L7" s="1">
        <f t="shared" ref="L7:L16" si="1">K7*$I$5</f>
        <v>2.2959999999999998</v>
      </c>
      <c r="M7" s="1">
        <f>SUM(J7:J16)/SUM(J6:J16)</f>
        <v>0.21875</v>
      </c>
      <c r="N7" s="1">
        <f>M7*$I$5</f>
        <v>2.1875</v>
      </c>
      <c r="O7" s="1">
        <f>N7/SQRT(2)</f>
        <v>1.5467960838455725</v>
      </c>
      <c r="P7" s="1">
        <f>20*LOG10(O7/0.7746)</f>
        <v>6.0071114242459256</v>
      </c>
    </row>
    <row r="8" spans="7:16" x14ac:dyDescent="0.3">
      <c r="G8">
        <v>3</v>
      </c>
      <c r="H8" s="1">
        <f>3.095/2</f>
        <v>1.5475000000000001</v>
      </c>
      <c r="I8" s="1">
        <f t="shared" si="0"/>
        <v>0.15475</v>
      </c>
      <c r="J8" s="4">
        <v>4700</v>
      </c>
      <c r="K8" s="1">
        <f>SUM(J8:J16)/J5</f>
        <v>0.16159999999999999</v>
      </c>
      <c r="L8" s="1">
        <f t="shared" si="1"/>
        <v>1.6159999999999999</v>
      </c>
      <c r="M8" s="1">
        <f>SUM(J8:J16)/SUM(J6:J16)</f>
        <v>0.15396341463414634</v>
      </c>
      <c r="N8" s="1">
        <f t="shared" ref="N8:N16" si="2">M8*$I$5</f>
        <v>1.5396341463414633</v>
      </c>
      <c r="O8" s="1">
        <f t="shared" ref="O8:O16" si="3">N8/SQRT(2)</f>
        <v>1.0886857454244099</v>
      </c>
      <c r="P8" s="1">
        <f t="shared" ref="P8:P16" si="4">20*LOG10(O8/0.7746)</f>
        <v>2.9565008784985549</v>
      </c>
    </row>
    <row r="9" spans="7:16" x14ac:dyDescent="0.3">
      <c r="G9">
        <v>0</v>
      </c>
      <c r="H9">
        <f>2.19/2</f>
        <v>1.095</v>
      </c>
      <c r="I9" s="1">
        <f t="shared" si="0"/>
        <v>0.1095</v>
      </c>
      <c r="J9" s="4">
        <v>3300</v>
      </c>
      <c r="K9" s="1">
        <f>SUM(J9:J16)/J5</f>
        <v>0.11459999999999999</v>
      </c>
      <c r="L9" s="1">
        <f t="shared" si="1"/>
        <v>1.1459999999999999</v>
      </c>
      <c r="M9" s="1">
        <f>SUM(J9:J16)/SUM(J6:J16)</f>
        <v>0.1091844512195122</v>
      </c>
      <c r="N9" s="1">
        <f t="shared" si="2"/>
        <v>1.0918445121951219</v>
      </c>
      <c r="O9" s="1">
        <f t="shared" si="3"/>
        <v>0.77205065857448874</v>
      </c>
      <c r="P9" s="1">
        <f t="shared" si="4"/>
        <v>-2.8633897645368452E-2</v>
      </c>
    </row>
    <row r="10" spans="7:16" x14ac:dyDescent="0.3">
      <c r="G10">
        <v>-3</v>
      </c>
      <c r="H10" s="1">
        <f>1.551/2</f>
        <v>0.77549999999999997</v>
      </c>
      <c r="I10" s="1">
        <f t="shared" si="0"/>
        <v>7.7549999999999994E-2</v>
      </c>
      <c r="J10" s="4">
        <v>2390</v>
      </c>
      <c r="K10" s="1">
        <f>SUM(J10:J16)/J5</f>
        <v>8.1600000000000006E-2</v>
      </c>
      <c r="L10" s="1">
        <f t="shared" si="1"/>
        <v>0.81600000000000006</v>
      </c>
      <c r="M10" s="1">
        <f>SUM(J10:J16)/SUM(J6:J16)</f>
        <v>7.774390243902439E-2</v>
      </c>
      <c r="N10" s="1">
        <f t="shared" si="2"/>
        <v>0.77743902439024393</v>
      </c>
      <c r="O10" s="1">
        <f t="shared" si="3"/>
        <v>0.5497324061053952</v>
      </c>
      <c r="P10" s="1">
        <f t="shared" si="4"/>
        <v>-2.9785230751955689</v>
      </c>
    </row>
    <row r="11" spans="7:16" x14ac:dyDescent="0.3">
      <c r="G11">
        <v>-6</v>
      </c>
      <c r="H11">
        <f>1.098/2</f>
        <v>0.54900000000000004</v>
      </c>
      <c r="I11" s="1">
        <f t="shared" si="0"/>
        <v>5.4900000000000004E-2</v>
      </c>
      <c r="J11" s="4">
        <v>1680</v>
      </c>
      <c r="K11" s="1">
        <f>SUM(J11:J16)/J5</f>
        <v>5.7700000000000001E-2</v>
      </c>
      <c r="L11" s="1">
        <f t="shared" si="1"/>
        <v>0.57699999999999996</v>
      </c>
      <c r="M11" s="1">
        <f>SUM(J11:J16)/SUM(J6:J16)</f>
        <v>5.4973323170731704E-2</v>
      </c>
      <c r="N11" s="1">
        <f t="shared" si="2"/>
        <v>0.54973323170731703</v>
      </c>
      <c r="O11" s="1">
        <f t="shared" si="3"/>
        <v>0.38872009598383944</v>
      </c>
      <c r="P11" s="1">
        <f t="shared" si="4"/>
        <v>-5.988809987158163</v>
      </c>
    </row>
    <row r="12" spans="7:16" x14ac:dyDescent="0.3">
      <c r="G12">
        <v>-9</v>
      </c>
      <c r="H12" s="1">
        <f>0.777/2</f>
        <v>0.38850000000000001</v>
      </c>
      <c r="I12" s="1">
        <f t="shared" si="0"/>
        <v>3.8850000000000003E-2</v>
      </c>
      <c r="J12" s="4">
        <v>1220</v>
      </c>
      <c r="K12" s="1">
        <f>SUM(J12:J16)/J5</f>
        <v>4.0899999999999999E-2</v>
      </c>
      <c r="L12" s="1">
        <f t="shared" si="1"/>
        <v>0.40899999999999997</v>
      </c>
      <c r="M12" s="1">
        <f>SUM(J12:J16)/SUM(J6:J16)</f>
        <v>3.8967225609756101E-2</v>
      </c>
      <c r="N12" s="1">
        <f t="shared" si="2"/>
        <v>0.38967225609756101</v>
      </c>
      <c r="O12" s="1">
        <f t="shared" si="3"/>
        <v>0.27553989472684637</v>
      </c>
      <c r="P12" s="1">
        <f t="shared" si="4"/>
        <v>-8.9778600901259544</v>
      </c>
    </row>
    <row r="13" spans="7:16" x14ac:dyDescent="0.3">
      <c r="G13">
        <v>-12</v>
      </c>
      <c r="H13">
        <f>0.55/2</f>
        <v>0.27500000000000002</v>
      </c>
      <c r="I13" s="1">
        <f t="shared" si="0"/>
        <v>2.7500000000000004E-2</v>
      </c>
      <c r="J13" s="4">
        <v>1470</v>
      </c>
      <c r="K13" s="1">
        <f>SUM(J13:J16)/J5</f>
        <v>2.87E-2</v>
      </c>
      <c r="L13" s="1">
        <f t="shared" si="1"/>
        <v>0.28699999999999998</v>
      </c>
      <c r="M13" s="1">
        <f>SUM(J13:J16)/SUM(J6:J16)</f>
        <v>2.734375E-2</v>
      </c>
      <c r="N13" s="1">
        <f t="shared" si="2"/>
        <v>0.2734375</v>
      </c>
      <c r="O13" s="1">
        <f t="shared" si="3"/>
        <v>0.19334951048069657</v>
      </c>
      <c r="P13" s="1">
        <f t="shared" si="4"/>
        <v>-12.054688315592944</v>
      </c>
    </row>
    <row r="14" spans="7:16" x14ac:dyDescent="0.3">
      <c r="G14">
        <v>-15</v>
      </c>
      <c r="H14">
        <f>0.39/2</f>
        <v>0.19500000000000001</v>
      </c>
      <c r="I14" s="1">
        <f t="shared" si="0"/>
        <v>1.95E-2</v>
      </c>
      <c r="J14" s="4">
        <v>680</v>
      </c>
      <c r="K14" s="1">
        <f>SUM(J14:J16)/J5</f>
        <v>1.4E-2</v>
      </c>
      <c r="L14" s="1">
        <f t="shared" si="1"/>
        <v>0.14000000000000001</v>
      </c>
      <c r="M14" s="1">
        <f>SUM(J14:J16)/SUM(J6:J16)</f>
        <v>1.3338414634146341E-2</v>
      </c>
      <c r="N14" s="1">
        <f t="shared" si="2"/>
        <v>0.13338414634146342</v>
      </c>
      <c r="O14" s="1">
        <f t="shared" si="3"/>
        <v>9.4316834380827608E-2</v>
      </c>
      <c r="P14" s="1">
        <f t="shared" si="4"/>
        <v>-18.289765536708028</v>
      </c>
    </row>
    <row r="15" spans="7:16" x14ac:dyDescent="0.3">
      <c r="G15">
        <v>-18</v>
      </c>
      <c r="H15">
        <f>0.276/2</f>
        <v>0.13800000000000001</v>
      </c>
      <c r="I15" s="1">
        <f>H15/$I$5</f>
        <v>1.3800000000000002E-2</v>
      </c>
      <c r="J15" s="4">
        <v>360</v>
      </c>
      <c r="K15" s="1">
        <f>SUM(J15:J16)/J6</f>
        <v>8.7804878048780496E-3</v>
      </c>
      <c r="L15" s="1">
        <f t="shared" si="1"/>
        <v>8.7804878048780496E-2</v>
      </c>
      <c r="M15" s="1">
        <f>SUM(J15:J16)/SUM(J6:J16)</f>
        <v>6.8597560975609756E-3</v>
      </c>
      <c r="N15" s="1">
        <f t="shared" si="2"/>
        <v>6.8597560975609762E-2</v>
      </c>
      <c r="O15" s="1">
        <f t="shared" si="3"/>
        <v>4.8505800538711341E-2</v>
      </c>
      <c r="P15" s="1">
        <f t="shared" si="4"/>
        <v>-24.065676321647423</v>
      </c>
    </row>
    <row r="16" spans="7:16" x14ac:dyDescent="0.3">
      <c r="G16">
        <v>-21</v>
      </c>
      <c r="H16" s="1">
        <f>0.195/2</f>
        <v>9.7500000000000003E-2</v>
      </c>
      <c r="I16" s="1">
        <f>H16/$I$5</f>
        <v>9.75E-3</v>
      </c>
      <c r="J16" s="4">
        <v>360</v>
      </c>
      <c r="K16" s="1">
        <f t="shared" ref="K16" si="5">J16/$J$5</f>
        <v>3.5999999999999999E-3</v>
      </c>
      <c r="L16" s="1">
        <f t="shared" si="1"/>
        <v>3.5999999999999997E-2</v>
      </c>
      <c r="M16" s="1">
        <f>SUM(J16)/SUM(J6:J16)</f>
        <v>3.4298780487804878E-3</v>
      </c>
      <c r="N16" s="1">
        <f t="shared" si="2"/>
        <v>3.4298780487804881E-2</v>
      </c>
      <c r="O16" s="1">
        <f t="shared" si="3"/>
        <v>2.4252900269355671E-2</v>
      </c>
      <c r="P16" s="1">
        <f t="shared" si="4"/>
        <v>-30.086276234927048</v>
      </c>
    </row>
    <row r="24" spans="5:5" x14ac:dyDescent="0.3">
      <c r="E24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8607-A81A-441B-A5D7-EC57AD3B650D}">
  <dimension ref="E4:P24"/>
  <sheetViews>
    <sheetView workbookViewId="0">
      <selection activeCell="J8" sqref="J8"/>
    </sheetView>
  </sheetViews>
  <sheetFormatPr defaultRowHeight="14.4" x14ac:dyDescent="0.3"/>
  <cols>
    <col min="9" max="9" width="10.44140625" customWidth="1"/>
    <col min="10" max="10" width="15.6640625" customWidth="1"/>
    <col min="16" max="16" width="9.44140625" bestFit="1" customWidth="1"/>
  </cols>
  <sheetData>
    <row r="4" spans="7:16" x14ac:dyDescent="0.3">
      <c r="I4" t="s">
        <v>3</v>
      </c>
      <c r="J4" t="s">
        <v>5</v>
      </c>
    </row>
    <row r="5" spans="7:16" x14ac:dyDescent="0.3">
      <c r="I5">
        <v>10</v>
      </c>
      <c r="J5">
        <v>100000</v>
      </c>
    </row>
    <row r="6" spans="7:16" x14ac:dyDescent="0.3">
      <c r="G6" t="s">
        <v>0</v>
      </c>
      <c r="H6" t="s">
        <v>1</v>
      </c>
      <c r="I6" t="s">
        <v>2</v>
      </c>
      <c r="J6" s="3">
        <v>90900</v>
      </c>
      <c r="K6" s="1"/>
      <c r="L6" s="1" t="s">
        <v>1</v>
      </c>
      <c r="N6" t="s">
        <v>1</v>
      </c>
      <c r="O6" t="s">
        <v>6</v>
      </c>
      <c r="P6" t="s">
        <v>7</v>
      </c>
    </row>
    <row r="7" spans="7:16" x14ac:dyDescent="0.3">
      <c r="G7">
        <v>6</v>
      </c>
      <c r="H7" s="1">
        <f>4.371/2</f>
        <v>2.1855000000000002</v>
      </c>
      <c r="I7" s="1">
        <f t="shared" ref="I7:I14" si="0">H7/$I$5</f>
        <v>0.21855000000000002</v>
      </c>
      <c r="J7" s="4">
        <v>7500</v>
      </c>
      <c r="K7" s="1">
        <f>SUM(J7:J16)/J5</f>
        <v>0.25979999999999998</v>
      </c>
      <c r="L7" s="1">
        <f t="shared" ref="L7:L16" si="1">K7*$I$5</f>
        <v>2.5979999999999999</v>
      </c>
      <c r="M7" s="1">
        <f>SUM(J7:J16)/SUM(J6:J16)</f>
        <v>0.22227926078028748</v>
      </c>
      <c r="N7" s="1">
        <f>M7*$I$5</f>
        <v>2.2227926078028748</v>
      </c>
      <c r="O7" s="1">
        <f>N7/SQRT(2)</f>
        <v>1.5717517261487426</v>
      </c>
      <c r="P7" s="1">
        <f>20*LOG10(O7/0.7746)</f>
        <v>6.1461290665742832</v>
      </c>
    </row>
    <row r="8" spans="7:16" x14ac:dyDescent="0.3">
      <c r="G8">
        <v>3</v>
      </c>
      <c r="H8" s="1">
        <f>3.095/2</f>
        <v>1.5475000000000001</v>
      </c>
      <c r="I8" s="1">
        <f t="shared" si="0"/>
        <v>0.15475</v>
      </c>
      <c r="J8" s="4">
        <v>5600</v>
      </c>
      <c r="K8" s="1">
        <f>SUM(J8:J16)/J5</f>
        <v>0.18479999999999999</v>
      </c>
      <c r="L8" s="1">
        <f t="shared" si="1"/>
        <v>1.8479999999999999</v>
      </c>
      <c r="M8" s="1">
        <f>SUM(J8:J16)/SUM(J6:J16)</f>
        <v>0.15811088295687886</v>
      </c>
      <c r="N8" s="1">
        <f t="shared" ref="N8:N16" si="2">M8*$I$5</f>
        <v>1.5811088295687887</v>
      </c>
      <c r="O8" s="1">
        <f t="shared" ref="O8:O16" si="3">N8/SQRT(2)</f>
        <v>1.1180127751820157</v>
      </c>
      <c r="P8" s="1">
        <f t="shared" ref="P8:P16" si="4">20*LOG10(O8/0.7746)</f>
        <v>3.1873854695158617</v>
      </c>
    </row>
    <row r="9" spans="7:16" x14ac:dyDescent="0.3">
      <c r="G9">
        <v>0</v>
      </c>
      <c r="H9">
        <f>2.19/2</f>
        <v>1.095</v>
      </c>
      <c r="I9" s="1">
        <f t="shared" si="0"/>
        <v>0.1095</v>
      </c>
      <c r="J9" s="4">
        <v>3900</v>
      </c>
      <c r="K9" s="1">
        <f>SUM(J9:J16)/J5</f>
        <v>0.1288</v>
      </c>
      <c r="L9" s="1">
        <f t="shared" si="1"/>
        <v>1.288</v>
      </c>
      <c r="M9" s="1">
        <f>SUM(J9:J16)/SUM(J6:J16)</f>
        <v>0.11019849418206708</v>
      </c>
      <c r="N9" s="1">
        <f t="shared" si="2"/>
        <v>1.1019849418206709</v>
      </c>
      <c r="O9" s="1">
        <f t="shared" si="3"/>
        <v>0.77922102512685931</v>
      </c>
      <c r="P9" s="1">
        <f t="shared" si="4"/>
        <v>5.1663392309968602E-2</v>
      </c>
    </row>
    <row r="10" spans="7:16" x14ac:dyDescent="0.3">
      <c r="G10">
        <v>-3</v>
      </c>
      <c r="H10" s="1">
        <f>1.551/2</f>
        <v>0.77549999999999997</v>
      </c>
      <c r="I10" s="1">
        <f t="shared" si="0"/>
        <v>7.7549999999999994E-2</v>
      </c>
      <c r="J10" s="4">
        <v>2670</v>
      </c>
      <c r="K10" s="1">
        <f>SUM(J10:J16)/J5</f>
        <v>8.9800000000000005E-2</v>
      </c>
      <c r="L10" s="1">
        <f t="shared" si="1"/>
        <v>0.89800000000000002</v>
      </c>
      <c r="M10" s="1">
        <f>SUM(J10:J16)/SUM(J6:J16)</f>
        <v>7.6830937713894598E-2</v>
      </c>
      <c r="N10" s="1">
        <f t="shared" si="2"/>
        <v>0.76830937713894598</v>
      </c>
      <c r="O10" s="1">
        <f t="shared" si="3"/>
        <v>0.54327677062416124</v>
      </c>
      <c r="P10" s="1">
        <f t="shared" si="4"/>
        <v>-3.0811271348198099</v>
      </c>
    </row>
    <row r="11" spans="7:16" x14ac:dyDescent="0.3">
      <c r="G11">
        <v>-6</v>
      </c>
      <c r="H11">
        <f>1.098/2</f>
        <v>0.54900000000000004</v>
      </c>
      <c r="I11" s="1">
        <f t="shared" si="0"/>
        <v>5.4900000000000004E-2</v>
      </c>
      <c r="J11" s="4">
        <v>1820</v>
      </c>
      <c r="K11" s="1">
        <f>SUM(J11:J16)/J5</f>
        <v>6.3100000000000003E-2</v>
      </c>
      <c r="L11" s="1">
        <f t="shared" si="1"/>
        <v>0.63100000000000001</v>
      </c>
      <c r="M11" s="1">
        <f>SUM(J11:J16)/SUM(J6:J16)</f>
        <v>5.3986995208761122E-2</v>
      </c>
      <c r="N11" s="1">
        <f t="shared" si="2"/>
        <v>0.53986995208761124</v>
      </c>
      <c r="O11" s="1">
        <f t="shared" si="3"/>
        <v>0.38174570408000641</v>
      </c>
      <c r="P11" s="1">
        <f t="shared" si="4"/>
        <v>-6.1460666832832107</v>
      </c>
    </row>
    <row r="12" spans="7:16" x14ac:dyDescent="0.3">
      <c r="G12">
        <v>-9</v>
      </c>
      <c r="H12" s="1">
        <f>0.777/2</f>
        <v>0.38850000000000001</v>
      </c>
      <c r="I12" s="1">
        <f t="shared" si="0"/>
        <v>3.8850000000000003E-2</v>
      </c>
      <c r="J12" s="4">
        <v>1330</v>
      </c>
      <c r="K12" s="1">
        <f>SUM(J12:J16)/J5</f>
        <v>4.4900000000000002E-2</v>
      </c>
      <c r="L12" s="1">
        <f t="shared" si="1"/>
        <v>0.44900000000000001</v>
      </c>
      <c r="M12" s="1">
        <f>SUM(J12:J16)/SUM(J6:J16)</f>
        <v>3.8415468856947299E-2</v>
      </c>
      <c r="N12" s="1">
        <f t="shared" si="2"/>
        <v>0.38415468856947299</v>
      </c>
      <c r="O12" s="1">
        <f t="shared" si="3"/>
        <v>0.27163838531208062</v>
      </c>
      <c r="P12" s="1">
        <f t="shared" si="4"/>
        <v>-9.1017270480994341</v>
      </c>
    </row>
    <row r="13" spans="7:16" x14ac:dyDescent="0.3">
      <c r="G13">
        <v>-12</v>
      </c>
      <c r="H13">
        <f>0.55/2</f>
        <v>0.27500000000000002</v>
      </c>
      <c r="I13" s="1">
        <f t="shared" si="0"/>
        <v>2.7500000000000004E-2</v>
      </c>
      <c r="J13" s="4">
        <v>1560</v>
      </c>
      <c r="K13" s="1">
        <f>SUM(J13:J16)/J5</f>
        <v>3.1600000000000003E-2</v>
      </c>
      <c r="L13" s="1">
        <f t="shared" si="1"/>
        <v>0.31600000000000006</v>
      </c>
      <c r="M13" s="1">
        <f>SUM(J13:J16)/SUM(J6:J16)</f>
        <v>2.70362765229295E-2</v>
      </c>
      <c r="N13" s="1">
        <f t="shared" si="2"/>
        <v>0.27036276522929498</v>
      </c>
      <c r="O13" s="1">
        <f t="shared" si="3"/>
        <v>0.19117534467398098</v>
      </c>
      <c r="P13" s="1">
        <f t="shared" si="4"/>
        <v>-12.152912215797825</v>
      </c>
    </row>
    <row r="14" spans="7:16" x14ac:dyDescent="0.3">
      <c r="G14">
        <v>-15</v>
      </c>
      <c r="H14">
        <f>0.39/2</f>
        <v>0.19500000000000001</v>
      </c>
      <c r="I14" s="1">
        <f t="shared" si="0"/>
        <v>1.95E-2</v>
      </c>
      <c r="J14" s="4">
        <v>820</v>
      </c>
      <c r="K14" s="1">
        <f>SUM(J14:J16)/J5</f>
        <v>1.6E-2</v>
      </c>
      <c r="L14" s="1">
        <f t="shared" si="1"/>
        <v>0.16</v>
      </c>
      <c r="M14" s="1">
        <f>SUM(J14:J16)/SUM(J6:J16)</f>
        <v>1.3689253935660506E-2</v>
      </c>
      <c r="N14" s="1">
        <f t="shared" si="2"/>
        <v>0.13689253935660506</v>
      </c>
      <c r="O14" s="1">
        <f t="shared" si="3"/>
        <v>9.6797642872901768E-2</v>
      </c>
      <c r="P14" s="1">
        <f t="shared" si="4"/>
        <v>-18.064254215047406</v>
      </c>
    </row>
    <row r="15" spans="7:16" x14ac:dyDescent="0.3">
      <c r="G15">
        <v>-18</v>
      </c>
      <c r="H15">
        <f>0.276/2</f>
        <v>0.13800000000000001</v>
      </c>
      <c r="I15" s="1">
        <f>H15/$I$5</f>
        <v>1.3800000000000002E-2</v>
      </c>
      <c r="J15" s="4">
        <v>390</v>
      </c>
      <c r="K15" s="1">
        <f>SUM(J15:J16)/J6</f>
        <v>8.580858085808581E-3</v>
      </c>
      <c r="L15" s="1">
        <f t="shared" si="1"/>
        <v>8.5808580858085806E-2</v>
      </c>
      <c r="M15" s="1">
        <f>SUM(J15:J16)/SUM(J6:J16)</f>
        <v>6.673511293634497E-3</v>
      </c>
      <c r="N15" s="1">
        <f t="shared" si="2"/>
        <v>6.6735112936344973E-2</v>
      </c>
      <c r="O15" s="1">
        <f t="shared" si="3"/>
        <v>4.718885090053962E-2</v>
      </c>
      <c r="P15" s="1">
        <f t="shared" si="4"/>
        <v>-24.30476181435629</v>
      </c>
    </row>
    <row r="16" spans="7:16" x14ac:dyDescent="0.3">
      <c r="G16">
        <v>-21</v>
      </c>
      <c r="H16" s="1">
        <f>0.195/2</f>
        <v>9.7500000000000003E-2</v>
      </c>
      <c r="I16" s="1">
        <f>H16/$I$5</f>
        <v>9.75E-3</v>
      </c>
      <c r="J16" s="4">
        <v>390</v>
      </c>
      <c r="K16" s="1">
        <f t="shared" ref="K16" si="5">J16/$J$5</f>
        <v>3.8999999999999998E-3</v>
      </c>
      <c r="L16" s="1">
        <f t="shared" si="1"/>
        <v>3.9E-2</v>
      </c>
      <c r="M16" s="1">
        <f>SUM(J16)/SUM(J6:J16)</f>
        <v>3.3367556468172485E-3</v>
      </c>
      <c r="N16" s="1">
        <f t="shared" si="2"/>
        <v>3.3367556468172486E-2</v>
      </c>
      <c r="O16" s="1">
        <f t="shared" si="3"/>
        <v>2.359442545026981E-2</v>
      </c>
      <c r="P16" s="1">
        <f t="shared" si="4"/>
        <v>-30.325361727635915</v>
      </c>
    </row>
    <row r="24" spans="5:5" x14ac:dyDescent="0.3">
      <c r="E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 11v70</vt:lpstr>
      <vt:lpstr>Out 11v75</vt:lpstr>
      <vt:lpstr>10V</vt:lpstr>
      <vt:lpstr>In 11v75</vt:lpstr>
      <vt:lpstr>Out 11v70 (2)</vt:lpstr>
      <vt:lpstr>Out 10V</vt:lpstr>
      <vt:lpstr>Out 10V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Marco</dc:creator>
  <cp:lastModifiedBy>Rodrigo De Marco</cp:lastModifiedBy>
  <dcterms:created xsi:type="dcterms:W3CDTF">2025-12-15T20:41:55Z</dcterms:created>
  <dcterms:modified xsi:type="dcterms:W3CDTF">2026-03-04T19:36:49Z</dcterms:modified>
</cp:coreProperties>
</file>